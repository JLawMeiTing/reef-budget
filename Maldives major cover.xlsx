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ca45426825b827/NUS PhD Geography/Phd/Reef Budget MALDIVES/Data/Reef budget/"/>
    </mc:Choice>
  </mc:AlternateContent>
  <xr:revisionPtr revIDLastSave="580" documentId="8_{9DDCF7C3-001E-CD4C-897B-791C92599EAA}" xr6:coauthVersionLast="47" xr6:coauthVersionMax="47" xr10:uidLastSave="{015D8EFC-A291-504A-8FFF-4E8FCD754C4D}"/>
  <bookViews>
    <workbookView xWindow="0" yWindow="740" windowWidth="29400" windowHeight="17240" xr2:uid="{5C2F0093-5C89-1F46-9CA9-E075BECFB4D6}"/>
  </bookViews>
  <sheets>
    <sheet name="major_cover_Maldiv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79" i="1" l="1"/>
  <c r="AZ80" i="1"/>
  <c r="AZ81" i="1"/>
  <c r="AZ82" i="1"/>
  <c r="AZ72" i="1"/>
  <c r="AZ73" i="1"/>
  <c r="AZ74" i="1"/>
  <c r="AZ75" i="1"/>
  <c r="AZ76" i="1"/>
  <c r="AZ77" i="1"/>
  <c r="AZ78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P57" i="1"/>
  <c r="AP58" i="1"/>
  <c r="AP59" i="1"/>
  <c r="AP60" i="1"/>
  <c r="AP61" i="1"/>
  <c r="AP62" i="1"/>
  <c r="AP63" i="1"/>
  <c r="AP64" i="1"/>
  <c r="AP65" i="1"/>
  <c r="AO57" i="1"/>
  <c r="AO58" i="1"/>
  <c r="AO59" i="1"/>
  <c r="AO60" i="1"/>
  <c r="AO61" i="1"/>
  <c r="AO62" i="1"/>
  <c r="AO63" i="1"/>
  <c r="AO64" i="1"/>
  <c r="AO65" i="1"/>
  <c r="AN62" i="1"/>
  <c r="AN63" i="1"/>
  <c r="AN64" i="1"/>
  <c r="AN65" i="1"/>
  <c r="AP56" i="1" l="1"/>
  <c r="AN61" i="1"/>
  <c r="AN60" i="1"/>
  <c r="AN59" i="1"/>
  <c r="AN58" i="1"/>
  <c r="AN57" i="1"/>
  <c r="AN56" i="1"/>
  <c r="AO56" i="1"/>
  <c r="AM56" i="1"/>
  <c r="AM57" i="1"/>
  <c r="AM58" i="1"/>
  <c r="AM59" i="1"/>
  <c r="AM60" i="1"/>
  <c r="AM61" i="1"/>
  <c r="AM62" i="1"/>
  <c r="AM63" i="1"/>
  <c r="AM64" i="1"/>
  <c r="AM65" i="1"/>
  <c r="AQ56" i="1" l="1"/>
  <c r="AY56" i="1" s="1"/>
  <c r="AQ57" i="1"/>
  <c r="AW57" i="1" s="1"/>
  <c r="AQ58" i="1"/>
  <c r="AV58" i="1" s="1"/>
  <c r="AQ59" i="1"/>
  <c r="AY59" i="1" s="1"/>
  <c r="AQ60" i="1"/>
  <c r="AW60" i="1" s="1"/>
  <c r="AQ61" i="1"/>
  <c r="AW61" i="1" s="1"/>
  <c r="AQ62" i="1"/>
  <c r="AV62" i="1" s="1"/>
  <c r="AQ63" i="1"/>
  <c r="AW63" i="1" s="1"/>
  <c r="AQ64" i="1"/>
  <c r="AX64" i="1" s="1"/>
  <c r="AQ65" i="1"/>
  <c r="AV55" i="1"/>
  <c r="AV51" i="1"/>
  <c r="AV52" i="1"/>
  <c r="AV53" i="1"/>
  <c r="AV54" i="1"/>
  <c r="AV49" i="1"/>
  <c r="AV50" i="1"/>
  <c r="AY64" i="1"/>
  <c r="AY65" i="1"/>
  <c r="AX65" i="1"/>
  <c r="AW65" i="1"/>
  <c r="AV64" i="1"/>
  <c r="AV65" i="1"/>
  <c r="AP55" i="1"/>
  <c r="AO55" i="1"/>
  <c r="AN55" i="1"/>
  <c r="AM55" i="1"/>
  <c r="AP54" i="1"/>
  <c r="AO54" i="1"/>
  <c r="AN54" i="1"/>
  <c r="AM54" i="1"/>
  <c r="AP53" i="1"/>
  <c r="AO53" i="1"/>
  <c r="AN53" i="1"/>
  <c r="AM53" i="1"/>
  <c r="AP52" i="1"/>
  <c r="AO52" i="1"/>
  <c r="AN52" i="1"/>
  <c r="AM52" i="1"/>
  <c r="AP51" i="1"/>
  <c r="AO51" i="1"/>
  <c r="AN51" i="1"/>
  <c r="AM51" i="1"/>
  <c r="AP50" i="1"/>
  <c r="AO50" i="1"/>
  <c r="AN50" i="1"/>
  <c r="AM50" i="1"/>
  <c r="AP49" i="1"/>
  <c r="AO49" i="1"/>
  <c r="AN49" i="1"/>
  <c r="AM49" i="1"/>
  <c r="AP48" i="1"/>
  <c r="AO48" i="1"/>
  <c r="AN48" i="1"/>
  <c r="AM48" i="1"/>
  <c r="AP47" i="1"/>
  <c r="AO47" i="1"/>
  <c r="AN47" i="1"/>
  <c r="AM47" i="1"/>
  <c r="AP46" i="1"/>
  <c r="AO46" i="1"/>
  <c r="AN46" i="1"/>
  <c r="AM46" i="1"/>
  <c r="AP45" i="1"/>
  <c r="AO45" i="1"/>
  <c r="AN45" i="1"/>
  <c r="AM45" i="1"/>
  <c r="AP44" i="1"/>
  <c r="AO44" i="1"/>
  <c r="AN44" i="1"/>
  <c r="AM44" i="1"/>
  <c r="AP43" i="1"/>
  <c r="AO43" i="1"/>
  <c r="AN43" i="1"/>
  <c r="AM43" i="1"/>
  <c r="AP42" i="1"/>
  <c r="AO42" i="1"/>
  <c r="AN42" i="1"/>
  <c r="AM42" i="1"/>
  <c r="AP41" i="1"/>
  <c r="AO41" i="1"/>
  <c r="AN41" i="1"/>
  <c r="AM41" i="1"/>
  <c r="AP40" i="1"/>
  <c r="AO40" i="1"/>
  <c r="AN40" i="1"/>
  <c r="AM40" i="1"/>
  <c r="AP39" i="1"/>
  <c r="AO39" i="1"/>
  <c r="AN39" i="1"/>
  <c r="AM39" i="1"/>
  <c r="AP38" i="1"/>
  <c r="AO38" i="1"/>
  <c r="AN38" i="1"/>
  <c r="AM38" i="1"/>
  <c r="AP37" i="1"/>
  <c r="AO37" i="1"/>
  <c r="AN37" i="1"/>
  <c r="AM37" i="1"/>
  <c r="AP36" i="1"/>
  <c r="AO36" i="1"/>
  <c r="AN36" i="1"/>
  <c r="AM36" i="1"/>
  <c r="AW58" i="1" l="1"/>
  <c r="AV57" i="1"/>
  <c r="AW59" i="1"/>
  <c r="AY58" i="1"/>
  <c r="AY57" i="1"/>
  <c r="AV61" i="1"/>
  <c r="AX61" i="1"/>
  <c r="AV60" i="1"/>
  <c r="AX60" i="1"/>
  <c r="AX59" i="1"/>
  <c r="AV59" i="1"/>
  <c r="AX58" i="1"/>
  <c r="AX57" i="1"/>
  <c r="AY60" i="1"/>
  <c r="AV63" i="1"/>
  <c r="AY62" i="1"/>
  <c r="AW64" i="1"/>
  <c r="AW62" i="1"/>
  <c r="AX56" i="1"/>
  <c r="AV56" i="1"/>
  <c r="AX63" i="1"/>
  <c r="AY63" i="1"/>
  <c r="AW56" i="1"/>
  <c r="AY61" i="1"/>
  <c r="AX62" i="1"/>
  <c r="AQ49" i="1"/>
  <c r="AQ55" i="1"/>
  <c r="AQ50" i="1"/>
  <c r="AY50" i="1" s="1"/>
  <c r="AQ54" i="1"/>
  <c r="AW54" i="1" s="1"/>
  <c r="AQ48" i="1"/>
  <c r="AV48" i="1" s="1"/>
  <c r="AQ46" i="1"/>
  <c r="AY46" i="1" s="1"/>
  <c r="AQ53" i="1"/>
  <c r="AX53" i="1" s="1"/>
  <c r="AQ51" i="1"/>
  <c r="AX51" i="1" s="1"/>
  <c r="AQ47" i="1"/>
  <c r="AV47" i="1" s="1"/>
  <c r="AQ52" i="1"/>
  <c r="AX52" i="1" s="1"/>
  <c r="AY55" i="1"/>
  <c r="AX55" i="1"/>
  <c r="AW55" i="1"/>
  <c r="AW49" i="1"/>
  <c r="AY49" i="1"/>
  <c r="AX49" i="1"/>
  <c r="AW50" i="1"/>
  <c r="AX50" i="1"/>
  <c r="AY54" i="1"/>
  <c r="AQ42" i="1"/>
  <c r="AY42" i="1" s="1"/>
  <c r="AQ37" i="1"/>
  <c r="AV37" i="1" s="1"/>
  <c r="AQ44" i="1"/>
  <c r="AW44" i="1" s="1"/>
  <c r="AQ39" i="1"/>
  <c r="AY39" i="1" s="1"/>
  <c r="AQ36" i="1"/>
  <c r="AV36" i="1" s="1"/>
  <c r="AQ41" i="1"/>
  <c r="AV41" i="1" s="1"/>
  <c r="AQ43" i="1"/>
  <c r="AX43" i="1" s="1"/>
  <c r="AQ45" i="1"/>
  <c r="AY45" i="1" s="1"/>
  <c r="AQ40" i="1"/>
  <c r="AW40" i="1" s="1"/>
  <c r="AQ38" i="1"/>
  <c r="AY38" i="1" s="1"/>
  <c r="AX37" i="1" l="1"/>
  <c r="AW42" i="1"/>
  <c r="AX36" i="1"/>
  <c r="AY48" i="1"/>
  <c r="AW46" i="1"/>
  <c r="AX48" i="1"/>
  <c r="AV46" i="1"/>
  <c r="AX46" i="1"/>
  <c r="AW48" i="1"/>
  <c r="AX47" i="1"/>
  <c r="AX54" i="1"/>
  <c r="AW36" i="1"/>
  <c r="AW53" i="1"/>
  <c r="AY36" i="1"/>
  <c r="AY47" i="1"/>
  <c r="AY53" i="1"/>
  <c r="AW47" i="1"/>
  <c r="AW51" i="1"/>
  <c r="AY51" i="1"/>
  <c r="AY52" i="1"/>
  <c r="AY37" i="1"/>
  <c r="AW52" i="1"/>
  <c r="AW39" i="1"/>
  <c r="AV39" i="1"/>
  <c r="AW37" i="1"/>
  <c r="AY40" i="1"/>
  <c r="AV42" i="1"/>
  <c r="AX44" i="1"/>
  <c r="AX42" i="1"/>
  <c r="AX40" i="1"/>
  <c r="AY44" i="1"/>
  <c r="AW43" i="1"/>
  <c r="AV43" i="1"/>
  <c r="AY43" i="1"/>
  <c r="AX39" i="1"/>
  <c r="AW41" i="1"/>
  <c r="AV44" i="1"/>
  <c r="AW45" i="1"/>
  <c r="AX41" i="1"/>
  <c r="AV40" i="1"/>
  <c r="AV38" i="1"/>
  <c r="AX38" i="1"/>
  <c r="AX45" i="1"/>
  <c r="AY41" i="1"/>
  <c r="AV45" i="1"/>
  <c r="AW38" i="1"/>
  <c r="AZ2" i="1"/>
  <c r="AP82" i="1"/>
  <c r="AO82" i="1"/>
  <c r="AN82" i="1"/>
  <c r="AM82" i="1"/>
  <c r="AP81" i="1"/>
  <c r="AO81" i="1"/>
  <c r="AN81" i="1"/>
  <c r="AM81" i="1"/>
  <c r="AP80" i="1"/>
  <c r="AO80" i="1"/>
  <c r="AN80" i="1"/>
  <c r="AM80" i="1"/>
  <c r="AP79" i="1"/>
  <c r="AO79" i="1"/>
  <c r="AN79" i="1"/>
  <c r="AM79" i="1"/>
  <c r="AP78" i="1"/>
  <c r="AO78" i="1"/>
  <c r="AN78" i="1"/>
  <c r="AM78" i="1"/>
  <c r="AP77" i="1"/>
  <c r="AO77" i="1"/>
  <c r="AN77" i="1"/>
  <c r="AM77" i="1"/>
  <c r="AP76" i="1"/>
  <c r="AO76" i="1"/>
  <c r="AN76" i="1"/>
  <c r="AM76" i="1"/>
  <c r="AP75" i="1"/>
  <c r="AO75" i="1"/>
  <c r="AN75" i="1"/>
  <c r="AM75" i="1"/>
  <c r="AP74" i="1"/>
  <c r="AO74" i="1"/>
  <c r="AN74" i="1"/>
  <c r="AM74" i="1"/>
  <c r="AP73" i="1"/>
  <c r="AO73" i="1"/>
  <c r="AN73" i="1"/>
  <c r="AM73" i="1"/>
  <c r="AP72" i="1"/>
  <c r="AO72" i="1"/>
  <c r="AN72" i="1"/>
  <c r="AM72" i="1"/>
  <c r="AP71" i="1"/>
  <c r="AO71" i="1"/>
  <c r="AN71" i="1"/>
  <c r="AM71" i="1"/>
  <c r="AP70" i="1"/>
  <c r="AO70" i="1"/>
  <c r="AN70" i="1"/>
  <c r="AM70" i="1"/>
  <c r="AP69" i="1"/>
  <c r="AO69" i="1"/>
  <c r="AN69" i="1"/>
  <c r="AM69" i="1"/>
  <c r="AP68" i="1"/>
  <c r="AO68" i="1"/>
  <c r="AN68" i="1"/>
  <c r="AM68" i="1"/>
  <c r="AP67" i="1"/>
  <c r="AO67" i="1"/>
  <c r="AN67" i="1"/>
  <c r="AM67" i="1"/>
  <c r="AP66" i="1"/>
  <c r="AO66" i="1"/>
  <c r="AN66" i="1"/>
  <c r="AM66" i="1"/>
  <c r="AP35" i="1"/>
  <c r="AO35" i="1"/>
  <c r="AN35" i="1"/>
  <c r="AM35" i="1"/>
  <c r="AP34" i="1"/>
  <c r="AO34" i="1"/>
  <c r="AN34" i="1"/>
  <c r="AM34" i="1"/>
  <c r="AP33" i="1"/>
  <c r="AO33" i="1"/>
  <c r="AN33" i="1"/>
  <c r="AM33" i="1"/>
  <c r="AP32" i="1"/>
  <c r="AO32" i="1"/>
  <c r="AN32" i="1"/>
  <c r="AM32" i="1"/>
  <c r="AP31" i="1"/>
  <c r="AO31" i="1"/>
  <c r="AN31" i="1"/>
  <c r="AM31" i="1"/>
  <c r="AP30" i="1"/>
  <c r="AO30" i="1"/>
  <c r="AN30" i="1"/>
  <c r="AM30" i="1"/>
  <c r="AP29" i="1"/>
  <c r="AO29" i="1"/>
  <c r="AN29" i="1"/>
  <c r="AM29" i="1"/>
  <c r="AP28" i="1"/>
  <c r="AO28" i="1"/>
  <c r="AN28" i="1"/>
  <c r="AM28" i="1"/>
  <c r="AP27" i="1"/>
  <c r="AO27" i="1"/>
  <c r="AN27" i="1"/>
  <c r="AM27" i="1"/>
  <c r="AP26" i="1"/>
  <c r="AO26" i="1"/>
  <c r="AN26" i="1"/>
  <c r="AM26" i="1"/>
  <c r="AP25" i="1"/>
  <c r="AO25" i="1"/>
  <c r="AN25" i="1"/>
  <c r="AM25" i="1"/>
  <c r="AP24" i="1"/>
  <c r="AO24" i="1"/>
  <c r="AN24" i="1"/>
  <c r="AM24" i="1"/>
  <c r="AP23" i="1"/>
  <c r="AO23" i="1"/>
  <c r="AN23" i="1"/>
  <c r="AM23" i="1"/>
  <c r="AP22" i="1"/>
  <c r="AO22" i="1"/>
  <c r="AN22" i="1"/>
  <c r="AM22" i="1"/>
  <c r="AP21" i="1"/>
  <c r="AO21" i="1"/>
  <c r="AN21" i="1"/>
  <c r="AM21" i="1"/>
  <c r="AP20" i="1"/>
  <c r="AO20" i="1"/>
  <c r="AN20" i="1"/>
  <c r="AM20" i="1"/>
  <c r="AP19" i="1"/>
  <c r="AO19" i="1"/>
  <c r="AN19" i="1"/>
  <c r="AM19" i="1"/>
  <c r="AP18" i="1"/>
  <c r="AO18" i="1"/>
  <c r="AN18" i="1"/>
  <c r="AM18" i="1"/>
  <c r="AP17" i="1"/>
  <c r="AO17" i="1"/>
  <c r="AN17" i="1"/>
  <c r="AM17" i="1"/>
  <c r="AP16" i="1"/>
  <c r="AO16" i="1"/>
  <c r="AN16" i="1"/>
  <c r="AM16" i="1"/>
  <c r="AP15" i="1"/>
  <c r="AO15" i="1"/>
  <c r="AN15" i="1"/>
  <c r="AM15" i="1"/>
  <c r="AP14" i="1"/>
  <c r="AO14" i="1"/>
  <c r="AN14" i="1"/>
  <c r="AM14" i="1"/>
  <c r="AP13" i="1"/>
  <c r="AO13" i="1"/>
  <c r="AN13" i="1"/>
  <c r="AM13" i="1"/>
  <c r="AP12" i="1"/>
  <c r="AO12" i="1"/>
  <c r="AN12" i="1"/>
  <c r="AM12" i="1"/>
  <c r="AP11" i="1"/>
  <c r="AO11" i="1"/>
  <c r="AN11" i="1"/>
  <c r="AM11" i="1"/>
  <c r="AP10" i="1"/>
  <c r="AO10" i="1"/>
  <c r="AN10" i="1"/>
  <c r="AM10" i="1"/>
  <c r="AP9" i="1"/>
  <c r="AO9" i="1"/>
  <c r="AN9" i="1"/>
  <c r="AM9" i="1"/>
  <c r="AP8" i="1"/>
  <c r="AO8" i="1"/>
  <c r="AN8" i="1"/>
  <c r="AM8" i="1"/>
  <c r="AP7" i="1"/>
  <c r="AO7" i="1"/>
  <c r="AN7" i="1"/>
  <c r="AM7" i="1"/>
  <c r="AP6" i="1"/>
  <c r="AO6" i="1"/>
  <c r="AN6" i="1"/>
  <c r="AM6" i="1"/>
  <c r="AP5" i="1"/>
  <c r="AO5" i="1"/>
  <c r="AN5" i="1"/>
  <c r="AM5" i="1"/>
  <c r="AP4" i="1"/>
  <c r="AO4" i="1"/>
  <c r="AN4" i="1"/>
  <c r="AM4" i="1"/>
  <c r="AP3" i="1"/>
  <c r="AO3" i="1"/>
  <c r="AN3" i="1"/>
  <c r="AM3" i="1"/>
  <c r="AP2" i="1"/>
  <c r="AO2" i="1"/>
  <c r="AN2" i="1"/>
  <c r="AM2" i="1"/>
  <c r="AQ17" i="1" l="1"/>
  <c r="AV17" i="1" s="1"/>
  <c r="AQ11" i="1"/>
  <c r="AW11" i="1" s="1"/>
  <c r="AQ3" i="1"/>
  <c r="AV3" i="1" s="1"/>
  <c r="AQ9" i="1"/>
  <c r="AV9" i="1" s="1"/>
  <c r="AQ78" i="1"/>
  <c r="AY78" i="1" s="1"/>
  <c r="AQ2" i="1"/>
  <c r="AV2" i="1" s="1"/>
  <c r="AQ35" i="1"/>
  <c r="AX35" i="1" s="1"/>
  <c r="AQ33" i="1"/>
  <c r="AY33" i="1" s="1"/>
  <c r="AQ68" i="1"/>
  <c r="AV68" i="1" s="1"/>
  <c r="AQ26" i="1"/>
  <c r="AW26" i="1" s="1"/>
  <c r="AQ28" i="1"/>
  <c r="AX28" i="1" s="1"/>
  <c r="AQ71" i="1"/>
  <c r="AY71" i="1" s="1"/>
  <c r="AQ76" i="1"/>
  <c r="AW76" i="1" s="1"/>
  <c r="AQ21" i="1"/>
  <c r="AX21" i="1" s="1"/>
  <c r="AQ75" i="1"/>
  <c r="AV75" i="1" s="1"/>
  <c r="AQ77" i="1"/>
  <c r="AX77" i="1" s="1"/>
  <c r="AQ81" i="1"/>
  <c r="AY81" i="1" s="1"/>
  <c r="AQ7" i="1"/>
  <c r="AX7" i="1" s="1"/>
  <c r="AQ20" i="1"/>
  <c r="AY20" i="1" s="1"/>
  <c r="AQ8" i="1"/>
  <c r="AW8" i="1" s="1"/>
  <c r="AQ13" i="1"/>
  <c r="AY13" i="1" s="1"/>
  <c r="AQ15" i="1"/>
  <c r="AX15" i="1" s="1"/>
  <c r="AQ19" i="1"/>
  <c r="AV19" i="1" s="1"/>
  <c r="AQ23" i="1"/>
  <c r="AX23" i="1" s="1"/>
  <c r="AQ25" i="1"/>
  <c r="AQ34" i="1"/>
  <c r="AW34" i="1" s="1"/>
  <c r="AQ6" i="1"/>
  <c r="AV6" i="1" s="1"/>
  <c r="AQ30" i="1"/>
  <c r="AV30" i="1" s="1"/>
  <c r="AQ66" i="1"/>
  <c r="AQ73" i="1"/>
  <c r="AW73" i="1" s="1"/>
  <c r="AQ80" i="1"/>
  <c r="AY80" i="1" s="1"/>
  <c r="AQ5" i="1"/>
  <c r="AV5" i="1" s="1"/>
  <c r="AQ10" i="1"/>
  <c r="AX10" i="1" s="1"/>
  <c r="AY17" i="1"/>
  <c r="AQ27" i="1"/>
  <c r="AX27" i="1" s="1"/>
  <c r="AQ4" i="1"/>
  <c r="AV4" i="1" s="1"/>
  <c r="AQ14" i="1"/>
  <c r="AY14" i="1" s="1"/>
  <c r="AQ18" i="1"/>
  <c r="AX18" i="1" s="1"/>
  <c r="AQ82" i="1"/>
  <c r="AW82" i="1" s="1"/>
  <c r="AQ69" i="1"/>
  <c r="AW69" i="1" s="1"/>
  <c r="AQ12" i="1"/>
  <c r="AY12" i="1" s="1"/>
  <c r="AQ22" i="1"/>
  <c r="AY22" i="1" s="1"/>
  <c r="AQ31" i="1"/>
  <c r="AY31" i="1" s="1"/>
  <c r="AQ67" i="1"/>
  <c r="AX67" i="1" s="1"/>
  <c r="AQ29" i="1"/>
  <c r="AV29" i="1" s="1"/>
  <c r="AQ74" i="1"/>
  <c r="AX74" i="1" s="1"/>
  <c r="AQ79" i="1"/>
  <c r="AX79" i="1" s="1"/>
  <c r="AY11" i="1"/>
  <c r="AX17" i="1"/>
  <c r="AQ70" i="1"/>
  <c r="AQ16" i="1"/>
  <c r="AQ24" i="1"/>
  <c r="AQ32" i="1"/>
  <c r="AW17" i="1"/>
  <c r="AQ72" i="1"/>
  <c r="AV66" i="1" l="1"/>
  <c r="AY66" i="1"/>
  <c r="AW81" i="1"/>
  <c r="AV18" i="1"/>
  <c r="AW21" i="1"/>
  <c r="AY69" i="1"/>
  <c r="AX5" i="1"/>
  <c r="AW6" i="1"/>
  <c r="AX3" i="1"/>
  <c r="AX4" i="1"/>
  <c r="AX11" i="1"/>
  <c r="AV12" i="1"/>
  <c r="AV11" i="1"/>
  <c r="AX9" i="1"/>
  <c r="AW9" i="1"/>
  <c r="AY9" i="1"/>
  <c r="AV8" i="1"/>
  <c r="AY3" i="1"/>
  <c r="AW3" i="1"/>
  <c r="AV78" i="1"/>
  <c r="AX75" i="1"/>
  <c r="AV21" i="1"/>
  <c r="AY35" i="1"/>
  <c r="AX78" i="1"/>
  <c r="AY21" i="1"/>
  <c r="AX20" i="1"/>
  <c r="AY26" i="1"/>
  <c r="AY23" i="1"/>
  <c r="AW78" i="1"/>
  <c r="AX26" i="1"/>
  <c r="AX19" i="1"/>
  <c r="AV33" i="1"/>
  <c r="AX33" i="1"/>
  <c r="AY75" i="1"/>
  <c r="AW5" i="1"/>
  <c r="AV35" i="1"/>
  <c r="AW15" i="1"/>
  <c r="AW4" i="1"/>
  <c r="AX69" i="1"/>
  <c r="AV14" i="1"/>
  <c r="AV69" i="1"/>
  <c r="AY4" i="1"/>
  <c r="AY74" i="1"/>
  <c r="AX6" i="1"/>
  <c r="AV80" i="1"/>
  <c r="AY6" i="1"/>
  <c r="AW33" i="1"/>
  <c r="AW80" i="1"/>
  <c r="AX30" i="1"/>
  <c r="AY79" i="1"/>
  <c r="AV74" i="1"/>
  <c r="AW74" i="1"/>
  <c r="AV73" i="1"/>
  <c r="AX68" i="1"/>
  <c r="AY68" i="1"/>
  <c r="AW71" i="1"/>
  <c r="AW68" i="1"/>
  <c r="AW13" i="1"/>
  <c r="AY28" i="1"/>
  <c r="AX80" i="1"/>
  <c r="AV13" i="1"/>
  <c r="AV7" i="1"/>
  <c r="AV26" i="1"/>
  <c r="AV28" i="1"/>
  <c r="AV31" i="1"/>
  <c r="AW35" i="1"/>
  <c r="AY15" i="1"/>
  <c r="AV15" i="1"/>
  <c r="AX82" i="1"/>
  <c r="AX29" i="1"/>
  <c r="AW22" i="1"/>
  <c r="AV20" i="1"/>
  <c r="AW28" i="1"/>
  <c r="AV10" i="1"/>
  <c r="AY82" i="1"/>
  <c r="AY29" i="1"/>
  <c r="AX12" i="1"/>
  <c r="AW19" i="1"/>
  <c r="AW20" i="1"/>
  <c r="AY7" i="1"/>
  <c r="AW29" i="1"/>
  <c r="AW12" i="1"/>
  <c r="AW23" i="1"/>
  <c r="AV81" i="1"/>
  <c r="AY27" i="1"/>
  <c r="AX66" i="1"/>
  <c r="AV77" i="1"/>
  <c r="AY67" i="1"/>
  <c r="AX71" i="1"/>
  <c r="AY77" i="1"/>
  <c r="AW31" i="1"/>
  <c r="AV23" i="1"/>
  <c r="AX76" i="1"/>
  <c r="AX31" i="1"/>
  <c r="AX81" i="1"/>
  <c r="AV71" i="1"/>
  <c r="AV76" i="1"/>
  <c r="AY76" i="1"/>
  <c r="AW77" i="1"/>
  <c r="AW75" i="1"/>
  <c r="AW66" i="1"/>
  <c r="AV22" i="1"/>
  <c r="AY25" i="1"/>
  <c r="AX25" i="1"/>
  <c r="AW27" i="1"/>
  <c r="AV27" i="1"/>
  <c r="AW10" i="1"/>
  <c r="AV25" i="1"/>
  <c r="AW18" i="1"/>
  <c r="AY18" i="1"/>
  <c r="AX73" i="1"/>
  <c r="AY73" i="1"/>
  <c r="AY8" i="1"/>
  <c r="AX8" i="1"/>
  <c r="AW25" i="1"/>
  <c r="AW79" i="1"/>
  <c r="AX14" i="1"/>
  <c r="AW30" i="1"/>
  <c r="AV79" i="1"/>
  <c r="AX34" i="1"/>
  <c r="AV34" i="1"/>
  <c r="AV82" i="1"/>
  <c r="AY5" i="1"/>
  <c r="AX13" i="1"/>
  <c r="AX22" i="1"/>
  <c r="AW14" i="1"/>
  <c r="AY19" i="1"/>
  <c r="AW7" i="1"/>
  <c r="AY30" i="1"/>
  <c r="AY34" i="1"/>
  <c r="AY10" i="1"/>
  <c r="AW67" i="1"/>
  <c r="AV67" i="1"/>
  <c r="AX72" i="1"/>
  <c r="AW72" i="1"/>
  <c r="AV72" i="1"/>
  <c r="AY72" i="1"/>
  <c r="AW24" i="1"/>
  <c r="AV24" i="1"/>
  <c r="AY24" i="1"/>
  <c r="AX24" i="1"/>
  <c r="AY2" i="1"/>
  <c r="AW2" i="1"/>
  <c r="AX2" i="1"/>
  <c r="AX32" i="1"/>
  <c r="AW32" i="1"/>
  <c r="AV32" i="1"/>
  <c r="AY32" i="1"/>
  <c r="AY70" i="1"/>
  <c r="AW70" i="1"/>
  <c r="AV70" i="1"/>
  <c r="AX70" i="1"/>
  <c r="AW16" i="1"/>
  <c r="AV16" i="1"/>
  <c r="AY16" i="1"/>
  <c r="AX16" i="1"/>
</calcChain>
</file>

<file path=xl/sharedStrings.xml><?xml version="1.0" encoding="utf-8"?>
<sst xmlns="http://schemas.openxmlformats.org/spreadsheetml/2006/main" count="294" uniqueCount="60">
  <si>
    <t>Country</t>
  </si>
  <si>
    <t>Site</t>
  </si>
  <si>
    <t>Zone</t>
  </si>
  <si>
    <t>Transect</t>
  </si>
  <si>
    <t>hcprod_mean</t>
  </si>
  <si>
    <t>gnet</t>
  </si>
  <si>
    <t>br_acro</t>
  </si>
  <si>
    <t>da_acro</t>
  </si>
  <si>
    <t>tab_acro</t>
  </si>
  <si>
    <t>br_por</t>
  </si>
  <si>
    <t>poc</t>
  </si>
  <si>
    <t>oth_bc</t>
  </si>
  <si>
    <t>mass_por</t>
  </si>
  <si>
    <t>oth_mass</t>
  </si>
  <si>
    <t>enc_por</t>
  </si>
  <si>
    <t>oth_enc</t>
  </si>
  <si>
    <t>fol_corals</t>
  </si>
  <si>
    <t>free_mush</t>
  </si>
  <si>
    <t>oth</t>
  </si>
  <si>
    <t>cca_cover</t>
  </si>
  <si>
    <t>sed_cover</t>
  </si>
  <si>
    <t>soft_cover</t>
  </si>
  <si>
    <t>mt_cover</t>
  </si>
  <si>
    <t>turf_cover</t>
  </si>
  <si>
    <t>rub_cover</t>
  </si>
  <si>
    <t>rock_cover</t>
  </si>
  <si>
    <t>limespav_cover</t>
  </si>
  <si>
    <t>oth_cover</t>
  </si>
  <si>
    <t>coral_genera_num</t>
  </si>
  <si>
    <t>mass_tot</t>
  </si>
  <si>
    <t>enc_tot</t>
  </si>
  <si>
    <t>branch_tot</t>
  </si>
  <si>
    <t>other_tot</t>
  </si>
  <si>
    <t>cover_tot</t>
  </si>
  <si>
    <t>cover_comp</t>
  </si>
  <si>
    <t>cover_weed</t>
  </si>
  <si>
    <t>cover_gen</t>
  </si>
  <si>
    <t>cover_stress</t>
  </si>
  <si>
    <t>comp</t>
  </si>
  <si>
    <t>weed</t>
  </si>
  <si>
    <t>general</t>
  </si>
  <si>
    <t>stress</t>
  </si>
  <si>
    <t>Maldives</t>
  </si>
  <si>
    <t>Keliaihutta</t>
  </si>
  <si>
    <t>CA</t>
  </si>
  <si>
    <t>gross_cprod</t>
  </si>
  <si>
    <t>v_accret</t>
  </si>
  <si>
    <t>Rub</t>
  </si>
  <si>
    <t>Sgrass</t>
  </si>
  <si>
    <t>hcoral_cover</t>
  </si>
  <si>
    <t>Date</t>
  </si>
  <si>
    <t>halimeda_cover</t>
  </si>
  <si>
    <t>sg_cover</t>
  </si>
  <si>
    <t>sand_cover</t>
  </si>
  <si>
    <t>dc_cover</t>
  </si>
  <si>
    <t>CCA</t>
  </si>
  <si>
    <t>CS</t>
  </si>
  <si>
    <t>CR</t>
  </si>
  <si>
    <t>Pav</t>
  </si>
  <si>
    <t>rugosity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</si>
</sst>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B0C9"/>
        <bgColor indexed="64"/>
      </patternFill>
    </fill>
    <fill>
      <patternFill patternType="solid">
        <fgColor rgb="FFFFAEA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E0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1" fillId="5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8A67-B5B2-104C-892D-8D816FFC2408}">
  <dimension ref="A1:AZ92"/>
  <sheetViews>
    <sheetView tabSelected="1" topLeftCell="A51" workbookViewId="0">
      <pane xSplit="6" topLeftCell="Z1" activePane="topRight" state="frozen"/>
      <selection pane="topRight" activeCell="A74" sqref="A74:XFD74"/>
    </sheetView>
  </sheetViews>
  <sheetFormatPr baseColWidth="10" defaultRowHeight="15" x14ac:dyDescent="0.2"/>
  <cols>
    <col min="1" max="6" width="10.83203125" style="1"/>
    <col min="7" max="7" width="10.83203125" style="17"/>
    <col min="8" max="8" width="14.1640625" style="17" customWidth="1"/>
    <col min="9" max="9" width="15.83203125" style="17" customWidth="1"/>
    <col min="10" max="10" width="10.83203125" style="17"/>
    <col min="11" max="23" width="10.83203125" style="1"/>
    <col min="24" max="24" width="17.1640625" style="2" customWidth="1"/>
    <col min="25" max="29" width="10.83203125" style="1"/>
    <col min="30" max="32" width="10.83203125" style="2"/>
    <col min="33" max="34" width="15" style="1" customWidth="1"/>
    <col min="35" max="35" width="10.1640625" style="1" customWidth="1"/>
    <col min="36" max="36" width="12.1640625" style="2" customWidth="1"/>
    <col min="37" max="37" width="10.83203125" style="2"/>
    <col min="38" max="38" width="18.1640625" style="1" customWidth="1"/>
    <col min="39" max="43" width="10.83203125" style="1"/>
    <col min="44" max="44" width="10.83203125" style="2"/>
    <col min="45" max="45" width="13" style="2" customWidth="1"/>
    <col min="46" max="46" width="10.1640625" style="2" customWidth="1"/>
    <col min="47" max="47" width="18.33203125" style="2" customWidth="1"/>
    <col min="48" max="51" width="10.83203125" style="1"/>
    <col min="52" max="52" width="10.6640625" style="1" customWidth="1"/>
    <col min="53" max="16384" width="10.83203125" style="1"/>
  </cols>
  <sheetData>
    <row r="1" spans="1:52" x14ac:dyDescent="0.2">
      <c r="B1" s="1" t="s">
        <v>0</v>
      </c>
      <c r="C1" s="1" t="s">
        <v>1</v>
      </c>
      <c r="D1" s="1" t="s">
        <v>50</v>
      </c>
      <c r="E1" s="1" t="s">
        <v>2</v>
      </c>
      <c r="F1" s="1" t="s">
        <v>3</v>
      </c>
      <c r="G1" s="17" t="s">
        <v>59</v>
      </c>
      <c r="H1" s="17" t="s">
        <v>4</v>
      </c>
      <c r="I1" s="17" t="s">
        <v>45</v>
      </c>
      <c r="J1" s="17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2" t="s">
        <v>49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2" t="s">
        <v>24</v>
      </c>
      <c r="AE1" s="2" t="s">
        <v>54</v>
      </c>
      <c r="AF1" s="2" t="s">
        <v>25</v>
      </c>
      <c r="AG1" s="1" t="s">
        <v>26</v>
      </c>
      <c r="AH1" s="1" t="s">
        <v>51</v>
      </c>
      <c r="AI1" s="1" t="s">
        <v>52</v>
      </c>
      <c r="AJ1" s="2" t="s">
        <v>53</v>
      </c>
      <c r="AK1" s="2" t="s">
        <v>27</v>
      </c>
      <c r="AL1" s="2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3" t="s">
        <v>34</v>
      </c>
      <c r="AS1" s="3" t="s">
        <v>35</v>
      </c>
      <c r="AT1" s="3" t="s">
        <v>36</v>
      </c>
      <c r="AU1" s="3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46</v>
      </c>
    </row>
    <row r="2" spans="1:52" x14ac:dyDescent="0.2">
      <c r="A2" s="1">
        <v>1</v>
      </c>
      <c r="B2" s="2" t="s">
        <v>42</v>
      </c>
      <c r="C2" s="2" t="s">
        <v>43</v>
      </c>
      <c r="D2" s="2">
        <v>2025</v>
      </c>
      <c r="E2" s="4" t="s">
        <v>44</v>
      </c>
      <c r="F2" s="2">
        <v>1</v>
      </c>
      <c r="G2" s="17">
        <v>1.1819999999999999</v>
      </c>
      <c r="H2" s="17">
        <v>0.53800000000000003</v>
      </c>
      <c r="I2" s="18">
        <v>0.71</v>
      </c>
      <c r="J2" s="18">
        <v>-1.1006988052380107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4.6500000000000004</v>
      </c>
      <c r="T2" s="1">
        <v>15.23</v>
      </c>
      <c r="U2" s="1">
        <v>0</v>
      </c>
      <c r="V2" s="1">
        <v>0</v>
      </c>
      <c r="W2" s="1">
        <v>0</v>
      </c>
      <c r="X2" s="2">
        <v>19.88</v>
      </c>
      <c r="Y2" s="2">
        <v>35.96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10.58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33.590000000000003</v>
      </c>
      <c r="AL2" s="2">
        <v>4</v>
      </c>
      <c r="AM2" s="1">
        <f>(Q2+R2)</f>
        <v>0</v>
      </c>
      <c r="AN2" s="1">
        <f>(S2+T2)</f>
        <v>19.880000000000003</v>
      </c>
      <c r="AO2" s="1">
        <f>(K2+N2+O2+P2)</f>
        <v>0</v>
      </c>
      <c r="AP2" s="1">
        <f>(L2+M2+U2+V2+W2)</f>
        <v>0</v>
      </c>
      <c r="AQ2" s="1">
        <f>(AM2+AN2+AO2+AP2)</f>
        <v>19.880000000000003</v>
      </c>
      <c r="AR2" s="2">
        <v>0</v>
      </c>
      <c r="AS2" s="2">
        <v>0</v>
      </c>
      <c r="AT2" s="2">
        <v>0</v>
      </c>
      <c r="AU2" s="2">
        <v>100</v>
      </c>
      <c r="AV2" s="1">
        <f>(AR2*AQ2)/100</f>
        <v>0</v>
      </c>
      <c r="AW2" s="1">
        <f>(AS2*AQ2)/100</f>
        <v>0</v>
      </c>
      <c r="AX2" s="1">
        <f>(AT2*AQ2)/100</f>
        <v>0</v>
      </c>
      <c r="AY2" s="1">
        <f>(AU2*AQ2)/100</f>
        <v>19.880000000000003</v>
      </c>
      <c r="AZ2" s="1">
        <f t="shared" ref="AZ2:AZ65" si="0">(J2*(1+0.5))/(2.89*(1-0.5))</f>
        <v>-1.1425939154719833</v>
      </c>
    </row>
    <row r="3" spans="1:52" x14ac:dyDescent="0.2">
      <c r="A3" s="1">
        <v>2</v>
      </c>
      <c r="B3" s="2" t="s">
        <v>42</v>
      </c>
      <c r="C3" s="2" t="s">
        <v>43</v>
      </c>
      <c r="D3" s="2">
        <v>2025</v>
      </c>
      <c r="E3" s="4" t="s">
        <v>44</v>
      </c>
      <c r="F3" s="2">
        <v>2</v>
      </c>
      <c r="G3" s="18">
        <v>1.1200000000000001</v>
      </c>
      <c r="H3" s="17">
        <v>0.187</v>
      </c>
      <c r="I3" s="18">
        <v>0.51400000000000001</v>
      </c>
      <c r="J3" s="18">
        <v>0.42500000000000004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6.88</v>
      </c>
      <c r="U3" s="1">
        <v>0</v>
      </c>
      <c r="V3" s="1">
        <v>0</v>
      </c>
      <c r="W3" s="1">
        <v>0</v>
      </c>
      <c r="X3" s="2">
        <v>6.88</v>
      </c>
      <c r="Y3" s="2">
        <v>72.23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0.63</v>
      </c>
      <c r="AF3" s="2">
        <v>0</v>
      </c>
      <c r="AG3" s="2">
        <v>0</v>
      </c>
      <c r="AH3" s="2">
        <v>0</v>
      </c>
      <c r="AI3" s="2">
        <v>0</v>
      </c>
      <c r="AJ3" s="2">
        <v>1.25</v>
      </c>
      <c r="AK3" s="2">
        <v>19.02</v>
      </c>
      <c r="AL3" s="2">
        <v>2</v>
      </c>
      <c r="AM3" s="1">
        <f t="shared" ref="AM3:AM67" si="1">(Q3+R3)</f>
        <v>0</v>
      </c>
      <c r="AN3" s="1">
        <f t="shared" ref="AN3:AN66" si="2">(S3+T3)</f>
        <v>6.88</v>
      </c>
      <c r="AO3" s="1">
        <f t="shared" ref="AO3:AO66" si="3">(K3+N3+O3+P3)</f>
        <v>0</v>
      </c>
      <c r="AP3" s="1">
        <f t="shared" ref="AP3:AP66" si="4">(L3+M3+U3+V3+W3)</f>
        <v>0</v>
      </c>
      <c r="AQ3" s="1">
        <f t="shared" ref="AQ3:AQ67" si="5">(AM3+AN3+AO3+AP3)</f>
        <v>6.88</v>
      </c>
      <c r="AR3" s="2">
        <v>0</v>
      </c>
      <c r="AS3" s="2">
        <v>0</v>
      </c>
      <c r="AT3" s="2">
        <v>0</v>
      </c>
      <c r="AU3" s="2">
        <v>100</v>
      </c>
      <c r="AV3" s="1">
        <f t="shared" ref="AV3:AV66" si="6">(AR3*AQ3)/100</f>
        <v>0</v>
      </c>
      <c r="AW3" s="1">
        <f t="shared" ref="AW3:AW66" si="7">(AS3*AQ3)/100</f>
        <v>0</v>
      </c>
      <c r="AX3" s="1">
        <f t="shared" ref="AX3:AX66" si="8">(AT3*AQ3)/100</f>
        <v>0</v>
      </c>
      <c r="AY3" s="1">
        <f t="shared" ref="AY3:AY35" si="9">(AU3*AQ3)/100</f>
        <v>6.88</v>
      </c>
      <c r="AZ3" s="1">
        <f t="shared" si="0"/>
        <v>0.44117647058823534</v>
      </c>
    </row>
    <row r="4" spans="1:52" x14ac:dyDescent="0.2">
      <c r="A4" s="1">
        <v>3</v>
      </c>
      <c r="B4" s="2" t="s">
        <v>42</v>
      </c>
      <c r="C4" s="2" t="s">
        <v>43</v>
      </c>
      <c r="D4" s="2">
        <v>2025</v>
      </c>
      <c r="E4" s="4" t="s">
        <v>44</v>
      </c>
      <c r="F4" s="2">
        <v>3</v>
      </c>
      <c r="G4" s="17">
        <v>1.173</v>
      </c>
      <c r="H4" s="17">
        <v>0.56599999999999995</v>
      </c>
      <c r="I4" s="18">
        <v>0.8819999999999999</v>
      </c>
      <c r="J4" s="18">
        <v>0.78099999999999992</v>
      </c>
      <c r="K4" s="1">
        <v>0</v>
      </c>
      <c r="L4" s="1">
        <v>0</v>
      </c>
      <c r="M4" s="1">
        <v>0</v>
      </c>
      <c r="N4" s="1">
        <v>0</v>
      </c>
      <c r="O4" s="1">
        <v>3.07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2">
        <v>3.07</v>
      </c>
      <c r="Y4" s="2">
        <v>66.84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9.89</v>
      </c>
      <c r="AF4" s="2">
        <v>0</v>
      </c>
      <c r="AG4" s="2">
        <v>0</v>
      </c>
      <c r="AH4" s="2">
        <v>0</v>
      </c>
      <c r="AI4" s="2">
        <v>0</v>
      </c>
      <c r="AJ4" s="2">
        <v>19.010000000000002</v>
      </c>
      <c r="AK4" s="5">
        <v>1.19</v>
      </c>
      <c r="AL4" s="2">
        <v>2</v>
      </c>
      <c r="AM4" s="1">
        <f t="shared" si="1"/>
        <v>0</v>
      </c>
      <c r="AN4" s="1">
        <f t="shared" si="2"/>
        <v>0</v>
      </c>
      <c r="AO4" s="1">
        <f t="shared" si="3"/>
        <v>3.07</v>
      </c>
      <c r="AP4" s="1">
        <f t="shared" si="4"/>
        <v>0</v>
      </c>
      <c r="AQ4" s="1">
        <f t="shared" si="5"/>
        <v>3.07</v>
      </c>
      <c r="AR4" s="2">
        <v>100</v>
      </c>
      <c r="AS4" s="2">
        <v>0</v>
      </c>
      <c r="AT4" s="2">
        <v>0</v>
      </c>
      <c r="AU4" s="2">
        <v>0</v>
      </c>
      <c r="AV4" s="1">
        <f t="shared" si="6"/>
        <v>3.07</v>
      </c>
      <c r="AW4" s="1">
        <f t="shared" si="7"/>
        <v>0</v>
      </c>
      <c r="AX4" s="1">
        <f t="shared" si="8"/>
        <v>0</v>
      </c>
      <c r="AY4" s="1">
        <f t="shared" si="9"/>
        <v>0</v>
      </c>
      <c r="AZ4" s="1">
        <f t="shared" si="0"/>
        <v>0.8107266435986159</v>
      </c>
    </row>
    <row r="5" spans="1:52" x14ac:dyDescent="0.2">
      <c r="A5" s="1">
        <v>4</v>
      </c>
      <c r="B5" s="2" t="s">
        <v>42</v>
      </c>
      <c r="C5" s="2" t="s">
        <v>43</v>
      </c>
      <c r="D5" s="2">
        <v>2025</v>
      </c>
      <c r="E5" s="4" t="s">
        <v>44</v>
      </c>
      <c r="F5" s="2">
        <v>4</v>
      </c>
      <c r="G5" s="17">
        <v>1.0940000000000001</v>
      </c>
      <c r="H5" s="17">
        <v>1.0780000000000001</v>
      </c>
      <c r="I5" s="18">
        <v>1.4100000000000001</v>
      </c>
      <c r="J5" s="18">
        <v>1.3330000000000002</v>
      </c>
      <c r="K5" s="1">
        <v>0</v>
      </c>
      <c r="L5" s="1">
        <v>0</v>
      </c>
      <c r="M5" s="1">
        <v>0</v>
      </c>
      <c r="N5" s="1">
        <v>0</v>
      </c>
      <c r="O5" s="1">
        <v>3.93</v>
      </c>
      <c r="P5" s="1">
        <v>0</v>
      </c>
      <c r="Q5" s="1">
        <v>0</v>
      </c>
      <c r="R5" s="1">
        <v>0</v>
      </c>
      <c r="S5" s="1">
        <v>3.56</v>
      </c>
      <c r="T5" s="1">
        <v>10.51</v>
      </c>
      <c r="U5" s="1">
        <v>0</v>
      </c>
      <c r="V5" s="1">
        <v>0</v>
      </c>
      <c r="W5" s="1">
        <v>0</v>
      </c>
      <c r="X5" s="8">
        <v>18.010000000000002</v>
      </c>
      <c r="Y5" s="2">
        <v>75.23</v>
      </c>
      <c r="Z5" s="2">
        <v>0</v>
      </c>
      <c r="AA5" s="2">
        <v>0</v>
      </c>
      <c r="AB5" s="2">
        <v>0</v>
      </c>
      <c r="AC5" s="2">
        <v>0</v>
      </c>
      <c r="AD5" s="2">
        <v>13.25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5">
        <v>6.76</v>
      </c>
      <c r="AL5" s="2">
        <v>4</v>
      </c>
      <c r="AM5" s="1">
        <f t="shared" si="1"/>
        <v>0</v>
      </c>
      <c r="AN5" s="1">
        <f t="shared" si="2"/>
        <v>14.07</v>
      </c>
      <c r="AO5" s="1">
        <f t="shared" si="3"/>
        <v>3.93</v>
      </c>
      <c r="AP5" s="1">
        <f t="shared" si="4"/>
        <v>0</v>
      </c>
      <c r="AQ5" s="1">
        <f t="shared" si="5"/>
        <v>18</v>
      </c>
      <c r="AR5" s="2">
        <v>21.83</v>
      </c>
      <c r="AS5" s="2">
        <v>0</v>
      </c>
      <c r="AT5" s="2">
        <v>0</v>
      </c>
      <c r="AU5" s="2">
        <v>37.25</v>
      </c>
      <c r="AV5" s="1">
        <f t="shared" si="6"/>
        <v>3.9293999999999993</v>
      </c>
      <c r="AW5" s="1">
        <f t="shared" si="7"/>
        <v>0</v>
      </c>
      <c r="AX5" s="1">
        <f t="shared" si="8"/>
        <v>0</v>
      </c>
      <c r="AY5" s="1">
        <f t="shared" si="9"/>
        <v>6.7050000000000001</v>
      </c>
      <c r="AZ5" s="1">
        <f t="shared" si="0"/>
        <v>1.3837370242214535</v>
      </c>
    </row>
    <row r="6" spans="1:52" x14ac:dyDescent="0.2">
      <c r="A6" s="1">
        <v>5</v>
      </c>
      <c r="B6" s="2" t="s">
        <v>42</v>
      </c>
      <c r="C6" s="2" t="s">
        <v>43</v>
      </c>
      <c r="D6" s="2">
        <v>2025</v>
      </c>
      <c r="E6" s="4" t="s">
        <v>44</v>
      </c>
      <c r="F6" s="2">
        <v>5</v>
      </c>
      <c r="G6" s="17">
        <v>1.046</v>
      </c>
      <c r="H6" s="17">
        <v>1.0129999999999999</v>
      </c>
      <c r="I6" s="18">
        <v>1.3599999999999999</v>
      </c>
      <c r="J6" s="18">
        <v>1.2839999999999998</v>
      </c>
      <c r="K6" s="1">
        <v>0</v>
      </c>
      <c r="L6" s="1">
        <v>0</v>
      </c>
      <c r="M6" s="1">
        <v>0</v>
      </c>
      <c r="N6" s="1">
        <v>0</v>
      </c>
      <c r="O6" s="1">
        <v>2.4900000000000002</v>
      </c>
      <c r="P6" s="1">
        <v>1.05</v>
      </c>
      <c r="Q6" s="1">
        <v>0</v>
      </c>
      <c r="R6" s="1">
        <v>0</v>
      </c>
      <c r="S6" s="1">
        <v>2.77</v>
      </c>
      <c r="T6" s="1">
        <v>9.08</v>
      </c>
      <c r="U6" s="1">
        <v>0</v>
      </c>
      <c r="V6" s="1">
        <v>0</v>
      </c>
      <c r="W6" s="1">
        <v>0</v>
      </c>
      <c r="X6" s="2">
        <v>15.39</v>
      </c>
      <c r="Y6" s="2">
        <v>82.22</v>
      </c>
      <c r="Z6" s="2">
        <v>0</v>
      </c>
      <c r="AA6" s="2">
        <v>0</v>
      </c>
      <c r="AB6" s="2">
        <v>0</v>
      </c>
      <c r="AC6" s="2">
        <v>0</v>
      </c>
      <c r="AD6" s="5">
        <v>3.15</v>
      </c>
      <c r="AE6" s="1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5">
        <v>2.39</v>
      </c>
      <c r="AL6" s="2">
        <v>5</v>
      </c>
      <c r="AM6" s="1">
        <f t="shared" si="1"/>
        <v>0</v>
      </c>
      <c r="AN6" s="1">
        <f t="shared" si="2"/>
        <v>11.85</v>
      </c>
      <c r="AO6" s="1">
        <f t="shared" si="3"/>
        <v>3.54</v>
      </c>
      <c r="AP6" s="1">
        <f t="shared" si="4"/>
        <v>0</v>
      </c>
      <c r="AQ6" s="1">
        <f t="shared" si="5"/>
        <v>15.39</v>
      </c>
      <c r="AR6" s="2">
        <v>16.149999999999999</v>
      </c>
      <c r="AS6" s="2">
        <v>0</v>
      </c>
      <c r="AT6" s="2">
        <v>0</v>
      </c>
      <c r="AU6" s="2">
        <v>49.11</v>
      </c>
      <c r="AV6" s="1">
        <f t="shared" si="6"/>
        <v>2.4854849999999997</v>
      </c>
      <c r="AW6" s="1">
        <f t="shared" si="7"/>
        <v>0</v>
      </c>
      <c r="AX6" s="1">
        <f t="shared" si="8"/>
        <v>0</v>
      </c>
      <c r="AY6" s="1">
        <f t="shared" si="9"/>
        <v>7.5580290000000003</v>
      </c>
      <c r="AZ6" s="1">
        <f t="shared" si="0"/>
        <v>1.3328719723183389</v>
      </c>
    </row>
    <row r="7" spans="1:52" x14ac:dyDescent="0.2">
      <c r="A7" s="1">
        <v>6</v>
      </c>
      <c r="B7" s="2" t="s">
        <v>42</v>
      </c>
      <c r="C7" s="2" t="s">
        <v>43</v>
      </c>
      <c r="D7" s="2">
        <v>2025</v>
      </c>
      <c r="E7" s="6" t="s">
        <v>55</v>
      </c>
      <c r="F7" s="2">
        <v>1</v>
      </c>
      <c r="G7" s="17">
        <v>1.153</v>
      </c>
      <c r="H7" s="17">
        <v>7.6130000000000004</v>
      </c>
      <c r="I7" s="18">
        <v>7.7640000000000002</v>
      </c>
      <c r="J7" s="18">
        <v>7.6920000000000002</v>
      </c>
      <c r="K7" s="1">
        <v>0</v>
      </c>
      <c r="L7" s="1">
        <v>3.83</v>
      </c>
      <c r="M7" s="1">
        <v>0</v>
      </c>
      <c r="N7" s="1">
        <v>0</v>
      </c>
      <c r="O7" s="1">
        <v>12.14</v>
      </c>
      <c r="P7" s="1">
        <v>7.58</v>
      </c>
      <c r="Q7" s="1">
        <v>12.47</v>
      </c>
      <c r="R7" s="1">
        <v>1.06</v>
      </c>
      <c r="S7" s="1">
        <v>0</v>
      </c>
      <c r="T7" s="1">
        <v>6.03</v>
      </c>
      <c r="U7" s="1">
        <v>0</v>
      </c>
      <c r="V7" s="1">
        <v>0</v>
      </c>
      <c r="W7" s="1">
        <v>0</v>
      </c>
      <c r="X7" s="2">
        <v>43.11</v>
      </c>
      <c r="Y7" s="2">
        <v>30.48</v>
      </c>
      <c r="Z7" s="2">
        <v>0</v>
      </c>
      <c r="AA7" s="2">
        <v>0</v>
      </c>
      <c r="AB7" s="2">
        <v>0</v>
      </c>
      <c r="AC7" s="2">
        <v>0</v>
      </c>
      <c r="AD7" s="8">
        <v>11</v>
      </c>
      <c r="AE7" s="13">
        <v>4.4000000000000004</v>
      </c>
      <c r="AF7" s="2">
        <v>0</v>
      </c>
      <c r="AG7" s="2">
        <v>2.12</v>
      </c>
      <c r="AH7" s="2">
        <v>0.9</v>
      </c>
      <c r="AI7" s="2">
        <v>0</v>
      </c>
      <c r="AJ7" s="2">
        <v>14.59</v>
      </c>
      <c r="AK7" s="2">
        <v>0</v>
      </c>
      <c r="AL7" s="2">
        <v>6</v>
      </c>
      <c r="AM7" s="1">
        <f>(Q7+R7)</f>
        <v>13.530000000000001</v>
      </c>
      <c r="AN7" s="1">
        <f t="shared" si="2"/>
        <v>6.03</v>
      </c>
      <c r="AO7" s="1">
        <f t="shared" si="3"/>
        <v>19.72</v>
      </c>
      <c r="AP7" s="1">
        <f t="shared" si="4"/>
        <v>3.83</v>
      </c>
      <c r="AQ7" s="1">
        <f t="shared" si="5"/>
        <v>43.11</v>
      </c>
      <c r="AR7" s="2">
        <v>37.049999999999997</v>
      </c>
      <c r="AS7" s="2">
        <v>0</v>
      </c>
      <c r="AT7" s="2">
        <v>27.98</v>
      </c>
      <c r="AU7" s="2">
        <v>34.97</v>
      </c>
      <c r="AV7" s="1">
        <f t="shared" si="6"/>
        <v>15.972254999999997</v>
      </c>
      <c r="AW7" s="1">
        <f t="shared" si="7"/>
        <v>0</v>
      </c>
      <c r="AX7" s="1">
        <f t="shared" si="8"/>
        <v>12.062177999999999</v>
      </c>
      <c r="AY7" s="1">
        <f t="shared" si="9"/>
        <v>15.075566999999999</v>
      </c>
      <c r="AZ7" s="1">
        <f t="shared" si="0"/>
        <v>7.9847750865051905</v>
      </c>
    </row>
    <row r="8" spans="1:52" x14ac:dyDescent="0.2">
      <c r="A8" s="1">
        <v>7</v>
      </c>
      <c r="B8" s="2" t="s">
        <v>42</v>
      </c>
      <c r="C8" s="2" t="s">
        <v>43</v>
      </c>
      <c r="D8" s="2">
        <v>2025</v>
      </c>
      <c r="E8" s="6" t="s">
        <v>55</v>
      </c>
      <c r="F8" s="2">
        <v>2</v>
      </c>
      <c r="G8" s="17">
        <v>1.1080000000000001</v>
      </c>
      <c r="H8" s="17">
        <v>4.2619999999999996</v>
      </c>
      <c r="I8" s="18">
        <v>4.5509999999999993</v>
      </c>
      <c r="J8" s="18">
        <v>0.72535146694973385</v>
      </c>
      <c r="K8" s="1">
        <v>5.98</v>
      </c>
      <c r="L8" s="1">
        <v>5.98</v>
      </c>
      <c r="M8" s="1">
        <v>0</v>
      </c>
      <c r="N8" s="1">
        <v>0</v>
      </c>
      <c r="O8" s="1">
        <v>6.23</v>
      </c>
      <c r="P8" s="1">
        <v>6.15</v>
      </c>
      <c r="Q8" s="1">
        <v>4.4400000000000004</v>
      </c>
      <c r="R8" s="1">
        <v>0</v>
      </c>
      <c r="S8" s="1">
        <v>0</v>
      </c>
      <c r="T8" s="1">
        <v>8.5399999999999991</v>
      </c>
      <c r="U8" s="1">
        <v>0</v>
      </c>
      <c r="V8" s="1">
        <v>0</v>
      </c>
      <c r="W8" s="1">
        <v>-5.98</v>
      </c>
      <c r="X8" s="2">
        <v>31.34</v>
      </c>
      <c r="Y8" s="2">
        <v>61.14</v>
      </c>
      <c r="Z8" s="2">
        <v>0</v>
      </c>
      <c r="AA8" s="2">
        <v>0</v>
      </c>
      <c r="AB8" s="2">
        <v>0</v>
      </c>
      <c r="AC8" s="2">
        <v>0</v>
      </c>
      <c r="AD8" s="2">
        <v>10.85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8">
        <v>4.53</v>
      </c>
      <c r="AK8" s="2">
        <v>0</v>
      </c>
      <c r="AL8" s="2">
        <v>5</v>
      </c>
      <c r="AM8" s="1">
        <f t="shared" si="1"/>
        <v>4.4400000000000004</v>
      </c>
      <c r="AN8" s="1">
        <f t="shared" si="2"/>
        <v>8.5399999999999991</v>
      </c>
      <c r="AO8" s="1">
        <f t="shared" si="3"/>
        <v>18.36</v>
      </c>
      <c r="AP8" s="1">
        <f t="shared" si="4"/>
        <v>0</v>
      </c>
      <c r="AQ8" s="1">
        <f t="shared" si="5"/>
        <v>31.34</v>
      </c>
      <c r="AR8" s="2">
        <v>49.05</v>
      </c>
      <c r="AS8" s="2">
        <v>0</v>
      </c>
      <c r="AT8" s="2">
        <v>34.33</v>
      </c>
      <c r="AU8" s="2">
        <v>16.62</v>
      </c>
      <c r="AV8" s="1">
        <f t="shared" si="6"/>
        <v>15.372269999999999</v>
      </c>
      <c r="AW8" s="1">
        <f t="shared" si="7"/>
        <v>0</v>
      </c>
      <c r="AX8" s="1">
        <f t="shared" si="8"/>
        <v>10.759022</v>
      </c>
      <c r="AY8" s="1">
        <f t="shared" si="9"/>
        <v>5.2087080000000006</v>
      </c>
      <c r="AZ8" s="1">
        <f t="shared" si="0"/>
        <v>0.75296000029384136</v>
      </c>
    </row>
    <row r="9" spans="1:52" x14ac:dyDescent="0.2">
      <c r="A9" s="1">
        <v>8</v>
      </c>
      <c r="B9" s="2" t="s">
        <v>42</v>
      </c>
      <c r="C9" s="2" t="s">
        <v>43</v>
      </c>
      <c r="D9" s="2">
        <v>2025</v>
      </c>
      <c r="E9" s="6" t="s">
        <v>55</v>
      </c>
      <c r="F9" s="2">
        <v>3</v>
      </c>
      <c r="G9" s="17">
        <v>1.046</v>
      </c>
      <c r="H9" s="17">
        <v>3.282</v>
      </c>
      <c r="I9" s="18">
        <v>3.577</v>
      </c>
      <c r="J9" s="18">
        <v>-0.23964853305026557</v>
      </c>
      <c r="K9" s="1">
        <v>8.1300000000000008</v>
      </c>
      <c r="L9" s="1">
        <v>8.1300000000000008</v>
      </c>
      <c r="M9" s="1">
        <v>0</v>
      </c>
      <c r="N9" s="1">
        <v>0</v>
      </c>
      <c r="O9" s="1">
        <v>1.43</v>
      </c>
      <c r="P9" s="1">
        <v>0</v>
      </c>
      <c r="Q9" s="7">
        <v>10.9</v>
      </c>
      <c r="R9" s="1">
        <v>2.58</v>
      </c>
      <c r="S9" s="1">
        <v>0</v>
      </c>
      <c r="T9" s="1">
        <v>0</v>
      </c>
      <c r="U9" s="1">
        <v>0</v>
      </c>
      <c r="V9" s="1">
        <v>0</v>
      </c>
      <c r="W9" s="1">
        <v>-8.1300000000000008</v>
      </c>
      <c r="X9" s="2">
        <v>23.04</v>
      </c>
      <c r="Y9" s="2">
        <v>69.98</v>
      </c>
      <c r="Z9" s="2">
        <v>0</v>
      </c>
      <c r="AA9" s="2">
        <v>0</v>
      </c>
      <c r="AB9" s="2">
        <v>0</v>
      </c>
      <c r="AC9" s="2">
        <v>0</v>
      </c>
      <c r="AD9" s="5">
        <v>3.54</v>
      </c>
      <c r="AE9" s="12">
        <v>0</v>
      </c>
      <c r="AF9" s="2">
        <v>0</v>
      </c>
      <c r="AG9" s="2">
        <v>0</v>
      </c>
      <c r="AH9" s="2">
        <v>0</v>
      </c>
      <c r="AI9" s="2">
        <v>0</v>
      </c>
      <c r="AJ9" s="8">
        <v>6.98</v>
      </c>
      <c r="AK9" s="2">
        <v>0</v>
      </c>
      <c r="AL9" s="2">
        <v>4</v>
      </c>
      <c r="AM9" s="1">
        <f t="shared" si="1"/>
        <v>13.48</v>
      </c>
      <c r="AN9" s="1">
        <f t="shared" si="2"/>
        <v>0</v>
      </c>
      <c r="AO9" s="1">
        <f t="shared" si="3"/>
        <v>9.56</v>
      </c>
      <c r="AP9" s="1">
        <f t="shared" si="4"/>
        <v>0</v>
      </c>
      <c r="AQ9" s="1">
        <f t="shared" si="5"/>
        <v>23.04</v>
      </c>
      <c r="AR9" s="2">
        <v>41.49</v>
      </c>
      <c r="AS9" s="2">
        <v>0</v>
      </c>
      <c r="AT9" s="2">
        <v>0</v>
      </c>
      <c r="AU9" s="2">
        <v>58.51</v>
      </c>
      <c r="AV9" s="1">
        <f t="shared" si="6"/>
        <v>9.5592959999999998</v>
      </c>
      <c r="AW9" s="1">
        <f t="shared" si="7"/>
        <v>0</v>
      </c>
      <c r="AX9" s="1">
        <f t="shared" si="8"/>
        <v>0</v>
      </c>
      <c r="AY9" s="1">
        <f t="shared" si="9"/>
        <v>13.480703999999998</v>
      </c>
      <c r="AZ9" s="1">
        <f t="shared" si="0"/>
        <v>-0.2487701035123864</v>
      </c>
    </row>
    <row r="10" spans="1:52" x14ac:dyDescent="0.2">
      <c r="A10" s="1">
        <v>9</v>
      </c>
      <c r="B10" s="2" t="s">
        <v>42</v>
      </c>
      <c r="C10" s="2" t="s">
        <v>43</v>
      </c>
      <c r="D10" s="2">
        <v>2025</v>
      </c>
      <c r="E10" s="6" t="s">
        <v>55</v>
      </c>
      <c r="F10" s="2">
        <v>4</v>
      </c>
      <c r="G10" s="17">
        <v>0.999</v>
      </c>
      <c r="H10" s="17">
        <v>2.8319999999999999</v>
      </c>
      <c r="I10" s="18">
        <v>3.125</v>
      </c>
      <c r="J10" s="18">
        <v>3.0619999999999998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2.82</v>
      </c>
      <c r="Q10" s="1">
        <v>0</v>
      </c>
      <c r="R10" s="1">
        <v>23.64</v>
      </c>
      <c r="S10" s="1">
        <v>0</v>
      </c>
      <c r="T10" s="1">
        <v>2.82</v>
      </c>
      <c r="U10" s="1">
        <v>0</v>
      </c>
      <c r="V10" s="1">
        <v>0</v>
      </c>
      <c r="W10" s="1">
        <v>0</v>
      </c>
      <c r="X10" s="2">
        <v>29.28</v>
      </c>
      <c r="Y10" s="2">
        <v>70.72</v>
      </c>
      <c r="Z10" s="2">
        <v>0</v>
      </c>
      <c r="AA10" s="2">
        <v>0</v>
      </c>
      <c r="AB10" s="2">
        <v>0</v>
      </c>
      <c r="AC10" s="2">
        <v>0</v>
      </c>
      <c r="AD10" s="2">
        <v>70.72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</v>
      </c>
      <c r="AM10" s="1">
        <f t="shared" si="1"/>
        <v>23.64</v>
      </c>
      <c r="AN10" s="1">
        <f t="shared" si="2"/>
        <v>2.82</v>
      </c>
      <c r="AO10" s="1">
        <f t="shared" si="3"/>
        <v>2.82</v>
      </c>
      <c r="AP10" s="1">
        <f t="shared" si="4"/>
        <v>0</v>
      </c>
      <c r="AQ10" s="1">
        <f t="shared" si="5"/>
        <v>29.28</v>
      </c>
      <c r="AR10" s="2">
        <v>0</v>
      </c>
      <c r="AS10" s="2">
        <v>0</v>
      </c>
      <c r="AT10" s="2">
        <v>19.27</v>
      </c>
      <c r="AU10" s="2">
        <v>80.73</v>
      </c>
      <c r="AV10" s="1">
        <f t="shared" si="6"/>
        <v>0</v>
      </c>
      <c r="AW10" s="1">
        <f t="shared" si="7"/>
        <v>0</v>
      </c>
      <c r="AX10" s="1">
        <f t="shared" si="8"/>
        <v>5.6422559999999997</v>
      </c>
      <c r="AY10" s="1">
        <f t="shared" si="9"/>
        <v>23.637744000000001</v>
      </c>
      <c r="AZ10" s="1">
        <f t="shared" si="0"/>
        <v>3.1785467128027678</v>
      </c>
    </row>
    <row r="11" spans="1:52" x14ac:dyDescent="0.2">
      <c r="A11" s="1">
        <v>10</v>
      </c>
      <c r="B11" s="2" t="s">
        <v>42</v>
      </c>
      <c r="C11" s="2" t="s">
        <v>43</v>
      </c>
      <c r="D11" s="2">
        <v>2025</v>
      </c>
      <c r="E11" s="6" t="s">
        <v>55</v>
      </c>
      <c r="F11" s="2">
        <v>5</v>
      </c>
      <c r="G11" s="17">
        <v>0.98399999999999999</v>
      </c>
      <c r="H11" s="17">
        <v>2.6819999999999999</v>
      </c>
      <c r="I11" s="18">
        <v>2.823</v>
      </c>
      <c r="J11" s="18">
        <v>2.7570000000000001</v>
      </c>
      <c r="K11" s="1">
        <v>0</v>
      </c>
      <c r="L11" s="1">
        <v>0</v>
      </c>
      <c r="M11" s="1">
        <v>0</v>
      </c>
      <c r="N11" s="1">
        <v>0</v>
      </c>
      <c r="O11" s="1">
        <v>5.58</v>
      </c>
      <c r="P11" s="1">
        <v>1.99</v>
      </c>
      <c r="Q11" s="1">
        <v>0</v>
      </c>
      <c r="R11" s="1">
        <v>10.66</v>
      </c>
      <c r="S11" s="1">
        <v>0</v>
      </c>
      <c r="T11" s="1">
        <v>2.99</v>
      </c>
      <c r="U11" s="1">
        <v>0</v>
      </c>
      <c r="V11" s="1">
        <v>0</v>
      </c>
      <c r="W11" s="1">
        <v>0</v>
      </c>
      <c r="X11" s="2">
        <v>21.22</v>
      </c>
      <c r="Y11" s="2">
        <v>34.86</v>
      </c>
      <c r="Z11" s="2">
        <v>0</v>
      </c>
      <c r="AA11" s="2">
        <v>0</v>
      </c>
      <c r="AB11" s="2">
        <v>0</v>
      </c>
      <c r="AC11" s="2">
        <v>0</v>
      </c>
      <c r="AD11" s="2">
        <v>32.869999999999997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12">
        <v>0</v>
      </c>
      <c r="AK11" s="2">
        <v>41.43</v>
      </c>
      <c r="AL11" s="2">
        <v>4</v>
      </c>
      <c r="AM11" s="1">
        <f t="shared" si="1"/>
        <v>10.66</v>
      </c>
      <c r="AN11" s="1">
        <f t="shared" si="2"/>
        <v>2.99</v>
      </c>
      <c r="AO11" s="1">
        <f t="shared" si="3"/>
        <v>7.57</v>
      </c>
      <c r="AP11" s="1">
        <f t="shared" si="4"/>
        <v>0</v>
      </c>
      <c r="AQ11" s="1">
        <f t="shared" si="5"/>
        <v>21.22</v>
      </c>
      <c r="AR11" s="2">
        <v>30.99</v>
      </c>
      <c r="AS11" s="2">
        <v>0</v>
      </c>
      <c r="AT11" s="2">
        <v>18.78</v>
      </c>
      <c r="AU11" s="2">
        <v>50.23</v>
      </c>
      <c r="AV11" s="1">
        <f t="shared" si="6"/>
        <v>6.576077999999999</v>
      </c>
      <c r="AW11" s="1">
        <f t="shared" si="7"/>
        <v>0</v>
      </c>
      <c r="AX11" s="1">
        <f t="shared" si="8"/>
        <v>3.9851159999999997</v>
      </c>
      <c r="AY11" s="1">
        <f t="shared" si="9"/>
        <v>10.658806</v>
      </c>
      <c r="AZ11" s="1">
        <f t="shared" si="0"/>
        <v>2.8619377162629758</v>
      </c>
    </row>
    <row r="12" spans="1:52" x14ac:dyDescent="0.2">
      <c r="A12" s="1">
        <v>11</v>
      </c>
      <c r="B12" s="2" t="s">
        <v>42</v>
      </c>
      <c r="C12" s="2" t="s">
        <v>43</v>
      </c>
      <c r="D12" s="2">
        <v>2025</v>
      </c>
      <c r="E12" s="6" t="s">
        <v>55</v>
      </c>
      <c r="F12" s="2">
        <v>6</v>
      </c>
      <c r="G12" s="18">
        <v>1.01</v>
      </c>
      <c r="H12" s="17">
        <v>4.3520000000000003</v>
      </c>
      <c r="I12" s="18">
        <v>4.5640000000000001</v>
      </c>
      <c r="J12" s="18">
        <v>4.5069999999999997</v>
      </c>
      <c r="K12" s="1">
        <v>16.670000000000002</v>
      </c>
      <c r="L12" s="1">
        <v>16.670000000000002</v>
      </c>
      <c r="M12" s="1">
        <v>0</v>
      </c>
      <c r="N12" s="1">
        <v>0</v>
      </c>
      <c r="O12" s="1">
        <v>0</v>
      </c>
      <c r="P12" s="1">
        <v>1.47</v>
      </c>
      <c r="Q12" s="1">
        <v>14.71</v>
      </c>
      <c r="R12" s="1">
        <v>0.98</v>
      </c>
      <c r="S12" s="1">
        <v>0</v>
      </c>
      <c r="T12" s="1">
        <v>0.98</v>
      </c>
      <c r="U12" s="1">
        <v>0</v>
      </c>
      <c r="V12" s="1">
        <v>0</v>
      </c>
      <c r="W12" s="1">
        <v>-16.670000000000002</v>
      </c>
      <c r="X12" s="8">
        <v>34.799999999999997</v>
      </c>
      <c r="Y12" s="2">
        <v>51.47</v>
      </c>
      <c r="Z12" s="2">
        <v>0</v>
      </c>
      <c r="AA12" s="2">
        <v>0</v>
      </c>
      <c r="AB12" s="2">
        <v>0</v>
      </c>
      <c r="AC12" s="2">
        <v>0</v>
      </c>
      <c r="AD12" s="2">
        <v>33.33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13.73</v>
      </c>
      <c r="AL12" s="2">
        <v>5</v>
      </c>
      <c r="AM12" s="1">
        <f t="shared" si="1"/>
        <v>15.690000000000001</v>
      </c>
      <c r="AN12" s="1">
        <f t="shared" si="2"/>
        <v>0.98</v>
      </c>
      <c r="AO12" s="1">
        <f t="shared" si="3"/>
        <v>18.14</v>
      </c>
      <c r="AP12" s="1">
        <f t="shared" si="4"/>
        <v>0</v>
      </c>
      <c r="AQ12" s="1">
        <f t="shared" si="5"/>
        <v>34.81</v>
      </c>
      <c r="AR12" s="2">
        <v>49.28</v>
      </c>
      <c r="AS12" s="2">
        <v>0</v>
      </c>
      <c r="AT12" s="8">
        <v>5.8</v>
      </c>
      <c r="AU12" s="2">
        <v>44.93</v>
      </c>
      <c r="AV12" s="1">
        <f t="shared" si="6"/>
        <v>17.154368000000002</v>
      </c>
      <c r="AW12" s="1">
        <f t="shared" si="7"/>
        <v>0</v>
      </c>
      <c r="AX12" s="1">
        <f t="shared" si="8"/>
        <v>2.01898</v>
      </c>
      <c r="AY12" s="1">
        <f t="shared" si="9"/>
        <v>15.640133000000001</v>
      </c>
      <c r="AZ12" s="1">
        <f t="shared" si="0"/>
        <v>4.6785467128027678</v>
      </c>
    </row>
    <row r="13" spans="1:52" x14ac:dyDescent="0.2">
      <c r="A13" s="1">
        <v>12</v>
      </c>
      <c r="B13" s="2" t="s">
        <v>42</v>
      </c>
      <c r="C13" s="2" t="s">
        <v>43</v>
      </c>
      <c r="D13" s="2">
        <v>2025</v>
      </c>
      <c r="E13" s="6" t="s">
        <v>55</v>
      </c>
      <c r="F13" s="2">
        <v>7</v>
      </c>
      <c r="G13" s="17">
        <v>1.075</v>
      </c>
      <c r="H13" s="17">
        <v>9.9659999999999993</v>
      </c>
      <c r="I13" s="18">
        <v>10.099</v>
      </c>
      <c r="J13" s="18">
        <v>10.071</v>
      </c>
      <c r="K13" s="1">
        <v>0</v>
      </c>
      <c r="L13" s="1">
        <v>30.37</v>
      </c>
      <c r="M13" s="1">
        <v>0</v>
      </c>
      <c r="N13" s="1">
        <v>0</v>
      </c>
      <c r="O13" s="1">
        <v>6.39</v>
      </c>
      <c r="P13" s="1">
        <v>1.39</v>
      </c>
      <c r="Q13" s="1">
        <v>29.63</v>
      </c>
      <c r="R13" s="1">
        <v>0</v>
      </c>
      <c r="S13" s="1">
        <v>0</v>
      </c>
      <c r="T13" s="1">
        <v>0.46</v>
      </c>
      <c r="U13" s="1">
        <v>0</v>
      </c>
      <c r="V13" s="1">
        <v>0</v>
      </c>
      <c r="W13" s="1">
        <v>0</v>
      </c>
      <c r="X13" s="2">
        <v>68.239999999999995</v>
      </c>
      <c r="Y13" s="2">
        <v>30.46</v>
      </c>
      <c r="Z13" s="2">
        <v>0</v>
      </c>
      <c r="AA13" s="2">
        <v>0</v>
      </c>
      <c r="AB13" s="2">
        <v>0</v>
      </c>
      <c r="AC13" s="2">
        <v>0</v>
      </c>
      <c r="AD13" s="2">
        <v>27.69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8">
        <v>1.3</v>
      </c>
      <c r="AK13" s="2">
        <v>0</v>
      </c>
      <c r="AL13" s="2">
        <v>5</v>
      </c>
      <c r="AM13" s="1">
        <f t="shared" si="1"/>
        <v>29.63</v>
      </c>
      <c r="AN13" s="1">
        <f t="shared" si="2"/>
        <v>0.46</v>
      </c>
      <c r="AO13" s="1">
        <f t="shared" si="3"/>
        <v>7.7799999999999994</v>
      </c>
      <c r="AP13" s="1">
        <f t="shared" si="4"/>
        <v>30.37</v>
      </c>
      <c r="AQ13" s="1">
        <f t="shared" si="5"/>
        <v>68.239999999999995</v>
      </c>
      <c r="AR13" s="2">
        <v>53.87</v>
      </c>
      <c r="AS13" s="2">
        <v>0</v>
      </c>
      <c r="AT13" s="2">
        <v>1.36</v>
      </c>
      <c r="AU13" s="2">
        <v>44.78</v>
      </c>
      <c r="AV13" s="1">
        <f t="shared" si="6"/>
        <v>36.760887999999994</v>
      </c>
      <c r="AW13" s="1">
        <f t="shared" si="7"/>
        <v>0</v>
      </c>
      <c r="AX13" s="1">
        <f t="shared" si="8"/>
        <v>0.928064</v>
      </c>
      <c r="AY13" s="1">
        <f t="shared" si="9"/>
        <v>30.557871999999996</v>
      </c>
      <c r="AZ13" s="1">
        <f t="shared" si="0"/>
        <v>10.454325259515571</v>
      </c>
    </row>
    <row r="14" spans="1:52" x14ac:dyDescent="0.2">
      <c r="A14" s="1">
        <v>13</v>
      </c>
      <c r="B14" s="2" t="s">
        <v>42</v>
      </c>
      <c r="C14" s="2" t="s">
        <v>43</v>
      </c>
      <c r="D14" s="2">
        <v>2025</v>
      </c>
      <c r="E14" s="6" t="s">
        <v>55</v>
      </c>
      <c r="F14" s="2">
        <v>8</v>
      </c>
      <c r="G14" s="17">
        <v>1.0429999999999999</v>
      </c>
      <c r="H14" s="17">
        <v>6.9279999999999999</v>
      </c>
      <c r="I14" s="18">
        <v>7.15</v>
      </c>
      <c r="J14" s="18">
        <v>7.1030000000000006</v>
      </c>
      <c r="K14" s="1">
        <v>19.940000000000001</v>
      </c>
      <c r="L14" s="1">
        <v>19.940000000000001</v>
      </c>
      <c r="M14" s="1">
        <v>0</v>
      </c>
      <c r="N14" s="1">
        <v>0</v>
      </c>
      <c r="O14" s="7">
        <v>9.1999999999999993</v>
      </c>
      <c r="P14" s="1">
        <v>0.96</v>
      </c>
      <c r="Q14" s="1">
        <v>17.16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-19.14</v>
      </c>
      <c r="X14" s="2">
        <v>47.27</v>
      </c>
      <c r="Y14" s="2">
        <v>52.73</v>
      </c>
      <c r="Z14" s="2">
        <v>0</v>
      </c>
      <c r="AA14" s="2">
        <v>0</v>
      </c>
      <c r="AB14" s="2">
        <v>0</v>
      </c>
      <c r="AC14" s="2">
        <v>0</v>
      </c>
      <c r="AD14" s="2">
        <v>52.73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4</v>
      </c>
      <c r="AM14" s="1">
        <f t="shared" si="1"/>
        <v>17.16</v>
      </c>
      <c r="AN14" s="1">
        <f t="shared" si="2"/>
        <v>0</v>
      </c>
      <c r="AO14" s="1">
        <f t="shared" si="3"/>
        <v>30.1</v>
      </c>
      <c r="AP14" s="1">
        <f t="shared" si="4"/>
        <v>0.80000000000000071</v>
      </c>
      <c r="AQ14" s="1">
        <f t="shared" si="5"/>
        <v>48.06</v>
      </c>
      <c r="AR14" s="2">
        <v>61.66</v>
      </c>
      <c r="AS14" s="2">
        <v>0</v>
      </c>
      <c r="AT14" s="2">
        <v>0</v>
      </c>
      <c r="AU14" s="2">
        <v>38.340000000000003</v>
      </c>
      <c r="AV14" s="1">
        <f t="shared" si="6"/>
        <v>29.633795999999997</v>
      </c>
      <c r="AW14" s="1">
        <f t="shared" si="7"/>
        <v>0</v>
      </c>
      <c r="AX14" s="1">
        <f t="shared" si="8"/>
        <v>0</v>
      </c>
      <c r="AY14" s="1">
        <f t="shared" si="9"/>
        <v>18.426204000000002</v>
      </c>
      <c r="AZ14" s="1">
        <f t="shared" si="0"/>
        <v>7.3733564013840827</v>
      </c>
    </row>
    <row r="15" spans="1:52" x14ac:dyDescent="0.2">
      <c r="A15" s="1">
        <v>14</v>
      </c>
      <c r="B15" s="2" t="s">
        <v>42</v>
      </c>
      <c r="C15" s="2" t="s">
        <v>43</v>
      </c>
      <c r="D15" s="2">
        <v>2025</v>
      </c>
      <c r="E15" s="6" t="s">
        <v>55</v>
      </c>
      <c r="F15" s="2">
        <v>9</v>
      </c>
      <c r="G15" s="17">
        <v>0.99299999999999999</v>
      </c>
      <c r="H15" s="17">
        <v>6.6379999999999999</v>
      </c>
      <c r="I15" s="18">
        <v>6.835</v>
      </c>
      <c r="J15" s="18">
        <v>6.7869999999999999</v>
      </c>
      <c r="K15" s="1">
        <v>22.26</v>
      </c>
      <c r="L15" s="1">
        <v>22.26</v>
      </c>
      <c r="M15" s="1">
        <v>0</v>
      </c>
      <c r="N15" s="1">
        <v>0</v>
      </c>
      <c r="O15" s="1">
        <v>8.36</v>
      </c>
      <c r="P15" s="1">
        <v>0</v>
      </c>
      <c r="Q15" s="1">
        <v>17.52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-22.26</v>
      </c>
      <c r="X15" s="2">
        <v>48.14</v>
      </c>
      <c r="Y15" s="2">
        <v>49.24</v>
      </c>
      <c r="Z15" s="2">
        <v>0</v>
      </c>
      <c r="AA15" s="2">
        <v>0</v>
      </c>
      <c r="AB15" s="2">
        <v>0</v>
      </c>
      <c r="AC15" s="2">
        <v>0</v>
      </c>
      <c r="AD15" s="2">
        <v>51.36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0.5</v>
      </c>
      <c r="AK15" s="2">
        <v>0</v>
      </c>
      <c r="AL15" s="2">
        <v>3</v>
      </c>
      <c r="AM15" s="1">
        <f t="shared" si="1"/>
        <v>17.52</v>
      </c>
      <c r="AN15" s="1">
        <f t="shared" si="2"/>
        <v>0</v>
      </c>
      <c r="AO15" s="1">
        <f t="shared" si="3"/>
        <v>30.62</v>
      </c>
      <c r="AP15" s="1">
        <f t="shared" si="4"/>
        <v>0</v>
      </c>
      <c r="AQ15" s="1">
        <f t="shared" si="5"/>
        <v>48.14</v>
      </c>
      <c r="AR15" s="8">
        <v>63.6</v>
      </c>
      <c r="AS15" s="2">
        <v>0</v>
      </c>
      <c r="AT15" s="2">
        <v>0</v>
      </c>
      <c r="AU15" s="8">
        <v>36.4</v>
      </c>
      <c r="AV15" s="1">
        <f t="shared" si="6"/>
        <v>30.617040000000003</v>
      </c>
      <c r="AW15" s="1">
        <f t="shared" si="7"/>
        <v>0</v>
      </c>
      <c r="AX15" s="1">
        <f t="shared" si="8"/>
        <v>0</v>
      </c>
      <c r="AY15" s="1">
        <f t="shared" si="9"/>
        <v>17.522960000000001</v>
      </c>
      <c r="AZ15" s="1">
        <f t="shared" si="0"/>
        <v>7.0453287197231838</v>
      </c>
    </row>
    <row r="16" spans="1:52" x14ac:dyDescent="0.2">
      <c r="A16" s="1">
        <v>15</v>
      </c>
      <c r="B16" s="2" t="s">
        <v>42</v>
      </c>
      <c r="C16" s="2" t="s">
        <v>43</v>
      </c>
      <c r="D16" s="2">
        <v>2025</v>
      </c>
      <c r="E16" s="6" t="s">
        <v>55</v>
      </c>
      <c r="F16" s="2">
        <v>10</v>
      </c>
      <c r="G16" s="17">
        <v>1.0269999999999999</v>
      </c>
      <c r="H16" s="17">
        <v>0.61</v>
      </c>
      <c r="I16" s="18">
        <v>0.94500000000000006</v>
      </c>
      <c r="J16" s="18">
        <v>0.8670000000000001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3.12</v>
      </c>
      <c r="T16" s="1">
        <v>8.18</v>
      </c>
      <c r="U16" s="1">
        <v>0</v>
      </c>
      <c r="V16" s="1">
        <v>0</v>
      </c>
      <c r="W16" s="1">
        <v>0</v>
      </c>
      <c r="X16" s="8">
        <v>11.3</v>
      </c>
      <c r="Y16" s="2">
        <v>80.819999999999993</v>
      </c>
      <c r="Z16" s="2">
        <v>0</v>
      </c>
      <c r="AA16" s="2">
        <v>0</v>
      </c>
      <c r="AB16" s="2">
        <v>0</v>
      </c>
      <c r="AC16" s="2">
        <v>0</v>
      </c>
      <c r="AD16" s="2">
        <v>32.520000000000003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5">
        <v>7.89</v>
      </c>
      <c r="AL16" s="2">
        <v>2</v>
      </c>
      <c r="AM16" s="1">
        <f t="shared" si="1"/>
        <v>0</v>
      </c>
      <c r="AN16" s="1">
        <f t="shared" si="2"/>
        <v>11.3</v>
      </c>
      <c r="AO16" s="1">
        <f t="shared" si="3"/>
        <v>0</v>
      </c>
      <c r="AP16" s="1">
        <f t="shared" si="4"/>
        <v>0</v>
      </c>
      <c r="AQ16" s="1">
        <f t="shared" si="5"/>
        <v>11.3</v>
      </c>
      <c r="AR16" s="2">
        <v>72.41</v>
      </c>
      <c r="AS16" s="2">
        <v>0</v>
      </c>
      <c r="AT16" s="2">
        <v>0</v>
      </c>
      <c r="AU16" s="2">
        <v>27.59</v>
      </c>
      <c r="AV16" s="1">
        <f t="shared" si="6"/>
        <v>8.1823300000000003</v>
      </c>
      <c r="AW16" s="1">
        <f t="shared" si="7"/>
        <v>0</v>
      </c>
      <c r="AX16" s="1">
        <f t="shared" si="8"/>
        <v>0</v>
      </c>
      <c r="AY16" s="1">
        <f t="shared" si="9"/>
        <v>3.1176699999999999</v>
      </c>
      <c r="AZ16" s="1">
        <f t="shared" si="0"/>
        <v>0.90000000000000013</v>
      </c>
    </row>
    <row r="17" spans="1:52" x14ac:dyDescent="0.2">
      <c r="A17" s="1">
        <v>16</v>
      </c>
      <c r="B17" s="2" t="s">
        <v>42</v>
      </c>
      <c r="C17" s="2" t="s">
        <v>43</v>
      </c>
      <c r="D17" s="2">
        <v>2025</v>
      </c>
      <c r="E17" s="6" t="s">
        <v>55</v>
      </c>
      <c r="F17" s="2">
        <v>11</v>
      </c>
      <c r="G17" s="17">
        <v>1.294</v>
      </c>
      <c r="H17" s="17">
        <v>2.2559999999999998</v>
      </c>
      <c r="I17" s="18">
        <v>2.585</v>
      </c>
      <c r="J17" s="18">
        <v>2.4289999999999998</v>
      </c>
      <c r="K17" s="1">
        <v>3.42</v>
      </c>
      <c r="L17" s="1">
        <v>3.42</v>
      </c>
      <c r="M17" s="1">
        <v>0</v>
      </c>
      <c r="N17" s="1">
        <v>1.83</v>
      </c>
      <c r="O17" s="7">
        <v>0.76</v>
      </c>
      <c r="P17" s="7">
        <v>1.6</v>
      </c>
      <c r="Q17" s="7">
        <v>3.5</v>
      </c>
      <c r="R17" s="1">
        <v>0</v>
      </c>
      <c r="S17" s="1">
        <v>0</v>
      </c>
      <c r="T17" s="1">
        <v>2.5099999999999998</v>
      </c>
      <c r="U17" s="1">
        <v>0</v>
      </c>
      <c r="V17" s="1">
        <v>0</v>
      </c>
      <c r="W17" s="1">
        <v>-2.81</v>
      </c>
      <c r="X17" s="2">
        <v>14.22</v>
      </c>
      <c r="Y17" s="2">
        <v>61.98</v>
      </c>
      <c r="Z17" s="2">
        <v>0</v>
      </c>
      <c r="AA17" s="2">
        <v>0</v>
      </c>
      <c r="AB17" s="2">
        <v>0</v>
      </c>
      <c r="AC17" s="2">
        <v>0</v>
      </c>
      <c r="AD17" s="2">
        <v>39.32</v>
      </c>
      <c r="AE17" s="2">
        <v>22.51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4</v>
      </c>
      <c r="AM17" s="1">
        <f t="shared" si="1"/>
        <v>3.5</v>
      </c>
      <c r="AN17" s="1">
        <f t="shared" si="2"/>
        <v>2.5099999999999998</v>
      </c>
      <c r="AO17" s="1">
        <f t="shared" si="3"/>
        <v>7.6099999999999994</v>
      </c>
      <c r="AP17" s="1">
        <f t="shared" si="4"/>
        <v>0.60999999999999988</v>
      </c>
      <c r="AQ17" s="1">
        <f t="shared" si="5"/>
        <v>14.229999999999999</v>
      </c>
      <c r="AR17" s="2">
        <v>40.11</v>
      </c>
      <c r="AS17" s="2">
        <v>12.83</v>
      </c>
      <c r="AT17" s="2">
        <v>22.46</v>
      </c>
      <c r="AU17" s="8">
        <v>24.6</v>
      </c>
      <c r="AV17" s="1">
        <f t="shared" si="6"/>
        <v>5.7076529999999988</v>
      </c>
      <c r="AW17" s="1">
        <f t="shared" si="7"/>
        <v>1.825709</v>
      </c>
      <c r="AX17" s="1">
        <f t="shared" si="8"/>
        <v>3.1960579999999998</v>
      </c>
      <c r="AY17" s="1">
        <f t="shared" si="9"/>
        <v>3.5005799999999998</v>
      </c>
      <c r="AZ17" s="1">
        <f t="shared" si="0"/>
        <v>2.5214532871972315</v>
      </c>
    </row>
    <row r="18" spans="1:52" x14ac:dyDescent="0.2">
      <c r="A18" s="1">
        <v>17</v>
      </c>
      <c r="B18" s="2" t="s">
        <v>42</v>
      </c>
      <c r="C18" s="2" t="s">
        <v>43</v>
      </c>
      <c r="D18" s="2">
        <v>2025</v>
      </c>
      <c r="E18" s="6" t="s">
        <v>55</v>
      </c>
      <c r="F18" s="2">
        <v>12</v>
      </c>
      <c r="G18" s="17">
        <v>1.2130000000000001</v>
      </c>
      <c r="H18" s="17">
        <v>6.5279999999999996</v>
      </c>
      <c r="I18" s="18">
        <v>6.641</v>
      </c>
      <c r="J18" s="18">
        <v>6.4960000000000004</v>
      </c>
      <c r="K18" s="1">
        <v>2.87</v>
      </c>
      <c r="L18" s="1">
        <v>2.87</v>
      </c>
      <c r="M18" s="1">
        <v>0</v>
      </c>
      <c r="N18" s="1">
        <v>2.56</v>
      </c>
      <c r="O18" s="1">
        <v>3.49</v>
      </c>
      <c r="P18" s="7">
        <v>5.9</v>
      </c>
      <c r="Q18" s="1">
        <v>16.52</v>
      </c>
      <c r="R18" s="1">
        <v>1.47</v>
      </c>
      <c r="S18" s="1">
        <v>0</v>
      </c>
      <c r="T18" s="7">
        <v>5.9</v>
      </c>
      <c r="U18" s="1">
        <v>0</v>
      </c>
      <c r="V18" s="1">
        <v>0</v>
      </c>
      <c r="W18" s="1">
        <v>-2.87</v>
      </c>
      <c r="X18" s="2">
        <v>38.71</v>
      </c>
      <c r="Y18" s="2">
        <v>21.72</v>
      </c>
      <c r="Z18" s="2">
        <v>0</v>
      </c>
      <c r="AA18" s="2">
        <v>0</v>
      </c>
      <c r="AB18" s="2">
        <v>0</v>
      </c>
      <c r="AC18" s="2">
        <v>0</v>
      </c>
      <c r="AD18" s="5">
        <v>2.56</v>
      </c>
      <c r="AE18" s="8">
        <v>34.29</v>
      </c>
      <c r="AF18" s="2">
        <v>0</v>
      </c>
      <c r="AG18" s="2">
        <v>0</v>
      </c>
      <c r="AH18" s="2">
        <v>0</v>
      </c>
      <c r="AI18" s="2">
        <v>0</v>
      </c>
      <c r="AJ18" s="8">
        <v>5.28</v>
      </c>
      <c r="AK18" s="2">
        <v>0</v>
      </c>
      <c r="AL18" s="2">
        <v>5</v>
      </c>
      <c r="AM18" s="1">
        <f t="shared" si="1"/>
        <v>17.989999999999998</v>
      </c>
      <c r="AN18" s="1">
        <f t="shared" si="2"/>
        <v>5.9</v>
      </c>
      <c r="AO18" s="1">
        <f t="shared" si="3"/>
        <v>14.82</v>
      </c>
      <c r="AP18" s="1">
        <f t="shared" si="4"/>
        <v>0</v>
      </c>
      <c r="AQ18" s="1">
        <f t="shared" si="5"/>
        <v>38.71</v>
      </c>
      <c r="AR18" s="2">
        <v>16.43</v>
      </c>
      <c r="AS18" s="2">
        <v>6.61</v>
      </c>
      <c r="AT18" s="2">
        <v>30.46</v>
      </c>
      <c r="AU18" s="2">
        <v>46.49</v>
      </c>
      <c r="AV18" s="1">
        <f t="shared" si="6"/>
        <v>6.3600530000000006</v>
      </c>
      <c r="AW18" s="1">
        <f t="shared" si="7"/>
        <v>2.5587310000000003</v>
      </c>
      <c r="AX18" s="1">
        <f t="shared" si="8"/>
        <v>11.791066000000001</v>
      </c>
      <c r="AY18" s="1">
        <f t="shared" si="9"/>
        <v>17.996279000000001</v>
      </c>
      <c r="AZ18" s="1">
        <f t="shared" si="0"/>
        <v>6.7432525951557087</v>
      </c>
    </row>
    <row r="19" spans="1:52" x14ac:dyDescent="0.2">
      <c r="A19" s="1">
        <v>18</v>
      </c>
      <c r="B19" s="2" t="s">
        <v>42</v>
      </c>
      <c r="C19" s="2" t="s">
        <v>43</v>
      </c>
      <c r="D19" s="2">
        <v>2025</v>
      </c>
      <c r="E19" s="9" t="s">
        <v>56</v>
      </c>
      <c r="F19" s="2">
        <v>1</v>
      </c>
      <c r="G19" s="17">
        <v>1.1870000000000001</v>
      </c>
      <c r="H19" s="17">
        <v>4.7880000000000003</v>
      </c>
      <c r="I19" s="18">
        <v>4.7880000000000003</v>
      </c>
      <c r="J19" s="18">
        <v>-2.7203745902852043</v>
      </c>
      <c r="K19" s="1">
        <v>10.7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14.24</v>
      </c>
      <c r="R19" s="1">
        <v>1.94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2">
        <v>26.87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5">
        <v>0.84</v>
      </c>
      <c r="AE19" s="8">
        <v>27.89</v>
      </c>
      <c r="AF19" s="2">
        <v>0</v>
      </c>
      <c r="AG19" s="2">
        <v>0</v>
      </c>
      <c r="AH19" s="2">
        <v>0.4</v>
      </c>
      <c r="AI19" s="2">
        <v>0</v>
      </c>
      <c r="AJ19" s="8">
        <v>44.4</v>
      </c>
      <c r="AK19" s="2">
        <v>0</v>
      </c>
      <c r="AL19" s="2">
        <v>3</v>
      </c>
      <c r="AM19" s="1">
        <f t="shared" si="1"/>
        <v>16.18</v>
      </c>
      <c r="AN19" s="1">
        <f t="shared" si="2"/>
        <v>0</v>
      </c>
      <c r="AO19" s="1">
        <f t="shared" si="3"/>
        <v>10.7</v>
      </c>
      <c r="AP19" s="1">
        <f t="shared" si="4"/>
        <v>0</v>
      </c>
      <c r="AQ19" s="1">
        <f t="shared" si="5"/>
        <v>26.88</v>
      </c>
      <c r="AR19" s="2">
        <v>39.81</v>
      </c>
      <c r="AS19" s="2">
        <v>0</v>
      </c>
      <c r="AT19" s="2">
        <v>0</v>
      </c>
      <c r="AU19" s="2">
        <v>60.19</v>
      </c>
      <c r="AV19" s="1">
        <f>(AR19*AQ19)/100</f>
        <v>10.700928000000001</v>
      </c>
      <c r="AW19" s="1">
        <f t="shared" si="7"/>
        <v>0</v>
      </c>
      <c r="AX19" s="1">
        <f t="shared" si="8"/>
        <v>0</v>
      </c>
      <c r="AY19" s="1">
        <f t="shared" si="9"/>
        <v>16.179071999999998</v>
      </c>
      <c r="AZ19" s="1">
        <f t="shared" si="0"/>
        <v>-2.8239182598116308</v>
      </c>
    </row>
    <row r="20" spans="1:52" x14ac:dyDescent="0.2">
      <c r="A20" s="1">
        <v>19</v>
      </c>
      <c r="B20" s="2" t="s">
        <v>42</v>
      </c>
      <c r="C20" s="2" t="s">
        <v>43</v>
      </c>
      <c r="D20" s="2">
        <v>2025</v>
      </c>
      <c r="E20" s="9" t="s">
        <v>56</v>
      </c>
      <c r="F20" s="2">
        <v>2</v>
      </c>
      <c r="G20" s="17">
        <v>1.0660000000000001</v>
      </c>
      <c r="H20" s="17">
        <v>1.9319999999999999</v>
      </c>
      <c r="I20" s="18">
        <v>1.974</v>
      </c>
      <c r="J20" s="18">
        <v>-1.8296485330502652</v>
      </c>
      <c r="K20" s="1">
        <v>0</v>
      </c>
      <c r="L20" s="1">
        <v>0</v>
      </c>
      <c r="M20" s="1">
        <v>0</v>
      </c>
      <c r="N20" s="1">
        <v>3.94</v>
      </c>
      <c r="O20" s="1">
        <v>8.5399999999999991</v>
      </c>
      <c r="P20" s="1">
        <v>0</v>
      </c>
      <c r="Q20" s="1">
        <v>0</v>
      </c>
      <c r="R20" s="1">
        <v>0</v>
      </c>
      <c r="S20" s="1">
        <v>2.81</v>
      </c>
      <c r="T20" s="1">
        <v>0</v>
      </c>
      <c r="U20" s="1">
        <v>0</v>
      </c>
      <c r="V20" s="1">
        <v>0</v>
      </c>
      <c r="W20" s="1">
        <v>0</v>
      </c>
      <c r="X20" s="2">
        <v>15.29</v>
      </c>
      <c r="Y20" s="2">
        <v>9.66</v>
      </c>
      <c r="Z20" s="2">
        <v>0</v>
      </c>
      <c r="AA20" s="2">
        <v>0</v>
      </c>
      <c r="AB20" s="2">
        <v>0</v>
      </c>
      <c r="AC20" s="2">
        <v>0</v>
      </c>
      <c r="AD20" s="5">
        <v>9.66</v>
      </c>
      <c r="AE20" s="5">
        <v>14.07</v>
      </c>
      <c r="AF20" s="2">
        <v>0</v>
      </c>
      <c r="AG20" s="2">
        <v>0</v>
      </c>
      <c r="AH20" s="2">
        <v>0</v>
      </c>
      <c r="AI20" s="2">
        <v>0</v>
      </c>
      <c r="AJ20" s="2">
        <v>60.98</v>
      </c>
      <c r="AK20" s="2">
        <v>0</v>
      </c>
      <c r="AL20" s="2">
        <v>2</v>
      </c>
      <c r="AM20" s="1">
        <f t="shared" si="1"/>
        <v>0</v>
      </c>
      <c r="AN20" s="1">
        <f t="shared" si="2"/>
        <v>2.81</v>
      </c>
      <c r="AO20" s="1">
        <f t="shared" si="3"/>
        <v>12.479999999999999</v>
      </c>
      <c r="AP20" s="1">
        <f t="shared" si="4"/>
        <v>0</v>
      </c>
      <c r="AQ20" s="1">
        <f t="shared" si="5"/>
        <v>15.29</v>
      </c>
      <c r="AR20" s="2">
        <v>55.83</v>
      </c>
      <c r="AS20" s="2">
        <v>25.77</v>
      </c>
      <c r="AT20" s="2">
        <v>0</v>
      </c>
      <c r="AU20" s="8">
        <v>18.399999999999999</v>
      </c>
      <c r="AV20" s="1">
        <f t="shared" si="6"/>
        <v>8.5364069999999987</v>
      </c>
      <c r="AW20" s="1">
        <f t="shared" si="7"/>
        <v>3.9402329999999997</v>
      </c>
      <c r="AX20" s="1">
        <f t="shared" si="8"/>
        <v>0</v>
      </c>
      <c r="AY20" s="1">
        <f t="shared" si="9"/>
        <v>2.8133599999999994</v>
      </c>
      <c r="AZ20" s="1">
        <f t="shared" si="0"/>
        <v>-1.8992891346542546</v>
      </c>
    </row>
    <row r="21" spans="1:52" x14ac:dyDescent="0.2">
      <c r="A21" s="1">
        <v>20</v>
      </c>
      <c r="B21" s="2" t="s">
        <v>42</v>
      </c>
      <c r="C21" s="2" t="s">
        <v>43</v>
      </c>
      <c r="D21" s="2">
        <v>2025</v>
      </c>
      <c r="E21" s="9" t="s">
        <v>56</v>
      </c>
      <c r="F21" s="2">
        <v>3</v>
      </c>
      <c r="G21" s="17">
        <v>1.115</v>
      </c>
      <c r="H21" s="17">
        <v>2.1560000000000001</v>
      </c>
      <c r="I21" s="18">
        <v>2.1560000000000001</v>
      </c>
      <c r="J21" s="18">
        <v>2.1350000000000002</v>
      </c>
      <c r="K21" s="1">
        <v>0</v>
      </c>
      <c r="L21" s="1">
        <v>0</v>
      </c>
      <c r="M21" s="1">
        <v>0</v>
      </c>
      <c r="N21" s="1">
        <v>7.89</v>
      </c>
      <c r="O21" s="1">
        <v>7.98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>
        <v>15.87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6.91</v>
      </c>
      <c r="AF21" s="2">
        <v>0</v>
      </c>
      <c r="AG21" s="2">
        <v>0</v>
      </c>
      <c r="AH21" s="2">
        <v>0</v>
      </c>
      <c r="AI21" s="2">
        <v>0</v>
      </c>
      <c r="AJ21" s="2">
        <v>77.22</v>
      </c>
      <c r="AK21" s="2">
        <v>0</v>
      </c>
      <c r="AL21" s="2">
        <v>2</v>
      </c>
      <c r="AM21" s="1">
        <f t="shared" si="1"/>
        <v>0</v>
      </c>
      <c r="AN21" s="1">
        <f t="shared" si="2"/>
        <v>0</v>
      </c>
      <c r="AO21" s="1">
        <f t="shared" si="3"/>
        <v>15.870000000000001</v>
      </c>
      <c r="AP21" s="1">
        <f t="shared" si="4"/>
        <v>0</v>
      </c>
      <c r="AQ21" s="1">
        <f t="shared" si="5"/>
        <v>15.870000000000001</v>
      </c>
      <c r="AR21" s="2">
        <v>50.28</v>
      </c>
      <c r="AS21" s="2">
        <v>49.72</v>
      </c>
      <c r="AT21" s="2">
        <v>0</v>
      </c>
      <c r="AU21" s="2">
        <v>0</v>
      </c>
      <c r="AV21" s="1">
        <f t="shared" si="6"/>
        <v>7.9794360000000006</v>
      </c>
      <c r="AW21" s="1">
        <f t="shared" si="7"/>
        <v>7.8905640000000004</v>
      </c>
      <c r="AX21" s="1">
        <f t="shared" si="8"/>
        <v>0</v>
      </c>
      <c r="AY21" s="1">
        <f t="shared" si="9"/>
        <v>0</v>
      </c>
      <c r="AZ21" s="1">
        <f t="shared" si="0"/>
        <v>2.2162629757785468</v>
      </c>
    </row>
    <row r="22" spans="1:52" x14ac:dyDescent="0.2">
      <c r="A22" s="1">
        <v>21</v>
      </c>
      <c r="B22" s="2" t="s">
        <v>42</v>
      </c>
      <c r="C22" s="2" t="s">
        <v>43</v>
      </c>
      <c r="D22" s="2">
        <v>2025</v>
      </c>
      <c r="E22" s="9" t="s">
        <v>56</v>
      </c>
      <c r="F22" s="2">
        <v>4</v>
      </c>
      <c r="G22" s="17">
        <v>1.3240000000000001</v>
      </c>
      <c r="H22" s="17">
        <v>1.6719999999999999</v>
      </c>
      <c r="I22" s="18">
        <v>1.716</v>
      </c>
      <c r="J22" s="18">
        <v>1.7070000000000001</v>
      </c>
      <c r="K22" s="1">
        <v>9.14</v>
      </c>
      <c r="L22" s="1">
        <v>9.14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12.31</v>
      </c>
      <c r="T22" s="1">
        <v>0</v>
      </c>
      <c r="U22" s="1">
        <v>0</v>
      </c>
      <c r="V22" s="1">
        <v>0</v>
      </c>
      <c r="W22" s="1">
        <v>-9.14</v>
      </c>
      <c r="X22" s="2">
        <v>21.45</v>
      </c>
      <c r="Y22" s="2">
        <v>8.31</v>
      </c>
      <c r="Z22" s="2">
        <v>0</v>
      </c>
      <c r="AA22" s="2">
        <v>0</v>
      </c>
      <c r="AB22" s="2">
        <v>0</v>
      </c>
      <c r="AC22" s="2">
        <v>0</v>
      </c>
      <c r="AD22" s="5">
        <v>6.8</v>
      </c>
      <c r="AE22" s="1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70.239999999999995</v>
      </c>
      <c r="AK22" s="2">
        <v>0</v>
      </c>
      <c r="AL22" s="2">
        <v>2</v>
      </c>
      <c r="AM22" s="1">
        <f t="shared" si="1"/>
        <v>0</v>
      </c>
      <c r="AN22" s="1">
        <f t="shared" si="2"/>
        <v>12.31</v>
      </c>
      <c r="AO22" s="1">
        <f t="shared" si="3"/>
        <v>9.14</v>
      </c>
      <c r="AP22" s="1">
        <f t="shared" si="4"/>
        <v>0</v>
      </c>
      <c r="AQ22" s="1">
        <f t="shared" si="5"/>
        <v>21.450000000000003</v>
      </c>
      <c r="AR22" s="2">
        <v>42.61</v>
      </c>
      <c r="AS22" s="2">
        <v>0</v>
      </c>
      <c r="AT22" s="2">
        <v>0</v>
      </c>
      <c r="AU22" s="2">
        <v>57.39</v>
      </c>
      <c r="AV22" s="1">
        <f t="shared" si="6"/>
        <v>9.1398450000000011</v>
      </c>
      <c r="AW22" s="1">
        <f t="shared" si="7"/>
        <v>0</v>
      </c>
      <c r="AX22" s="1">
        <f t="shared" si="8"/>
        <v>0</v>
      </c>
      <c r="AY22" s="1">
        <f t="shared" si="9"/>
        <v>12.310155000000002</v>
      </c>
      <c r="AZ22" s="1">
        <f t="shared" si="0"/>
        <v>1.7719723183391005</v>
      </c>
    </row>
    <row r="23" spans="1:52" x14ac:dyDescent="0.2">
      <c r="A23" s="1">
        <v>22</v>
      </c>
      <c r="B23" s="2" t="s">
        <v>42</v>
      </c>
      <c r="C23" s="2" t="s">
        <v>43</v>
      </c>
      <c r="D23" s="2">
        <v>2025</v>
      </c>
      <c r="E23" s="9" t="s">
        <v>56</v>
      </c>
      <c r="F23" s="2">
        <v>5</v>
      </c>
      <c r="G23" s="17">
        <v>1.139</v>
      </c>
      <c r="H23" s="17">
        <v>2.4870000000000001</v>
      </c>
      <c r="I23" s="18">
        <v>2.5540000000000003</v>
      </c>
      <c r="J23" s="18">
        <v>2.5400000000000005</v>
      </c>
      <c r="K23" s="1">
        <v>6.32</v>
      </c>
      <c r="L23" s="1">
        <v>6.32</v>
      </c>
      <c r="M23" s="1">
        <v>0</v>
      </c>
      <c r="N23" s="1">
        <v>0</v>
      </c>
      <c r="O23" s="1">
        <v>0.88</v>
      </c>
      <c r="P23" s="1">
        <v>0</v>
      </c>
      <c r="Q23" s="7">
        <v>5</v>
      </c>
      <c r="R23" s="1">
        <v>4.13</v>
      </c>
      <c r="S23" s="1">
        <v>2.5499999999999998</v>
      </c>
      <c r="T23" s="1">
        <v>0.53</v>
      </c>
      <c r="U23" s="1">
        <v>0</v>
      </c>
      <c r="V23" s="1">
        <v>0</v>
      </c>
      <c r="W23" s="1">
        <v>-6.32</v>
      </c>
      <c r="X23" s="8">
        <v>19.399999999999999</v>
      </c>
      <c r="Y23" s="2">
        <v>14.66</v>
      </c>
      <c r="Z23" s="2">
        <v>0</v>
      </c>
      <c r="AA23" s="2">
        <v>0</v>
      </c>
      <c r="AB23" s="2">
        <v>0</v>
      </c>
      <c r="AC23" s="2">
        <v>0</v>
      </c>
      <c r="AD23" s="8">
        <v>14.4</v>
      </c>
      <c r="AE23" s="1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65.94</v>
      </c>
      <c r="AK23" s="2">
        <v>0</v>
      </c>
      <c r="AL23" s="2">
        <v>5</v>
      </c>
      <c r="AM23" s="1">
        <f t="shared" si="1"/>
        <v>9.129999999999999</v>
      </c>
      <c r="AN23" s="1">
        <f t="shared" si="2"/>
        <v>3.08</v>
      </c>
      <c r="AO23" s="1">
        <f t="shared" si="3"/>
        <v>7.2</v>
      </c>
      <c r="AP23" s="1">
        <f t="shared" si="4"/>
        <v>0</v>
      </c>
      <c r="AQ23" s="1">
        <f t="shared" si="5"/>
        <v>19.41</v>
      </c>
      <c r="AR23" s="8">
        <v>37.1</v>
      </c>
      <c r="AS23" s="2">
        <v>0</v>
      </c>
      <c r="AT23" s="2">
        <v>0</v>
      </c>
      <c r="AU23" s="8">
        <v>62.9</v>
      </c>
      <c r="AV23" s="1">
        <f t="shared" si="6"/>
        <v>7.2011099999999999</v>
      </c>
      <c r="AW23" s="1">
        <f t="shared" si="7"/>
        <v>0</v>
      </c>
      <c r="AX23" s="1">
        <f t="shared" si="8"/>
        <v>0</v>
      </c>
      <c r="AY23" s="1">
        <f t="shared" si="9"/>
        <v>12.208889999999998</v>
      </c>
      <c r="AZ23" s="1">
        <f t="shared" si="0"/>
        <v>2.636678200692042</v>
      </c>
    </row>
    <row r="24" spans="1:52" x14ac:dyDescent="0.2">
      <c r="A24" s="1">
        <v>23</v>
      </c>
      <c r="B24" s="2" t="s">
        <v>42</v>
      </c>
      <c r="C24" s="2" t="s">
        <v>43</v>
      </c>
      <c r="D24" s="2">
        <v>2025</v>
      </c>
      <c r="E24" s="9" t="s">
        <v>56</v>
      </c>
      <c r="F24" s="2">
        <v>6</v>
      </c>
      <c r="G24" s="17">
        <v>1.0669999999999999</v>
      </c>
      <c r="H24" s="17">
        <v>1.347</v>
      </c>
      <c r="I24" s="18">
        <v>1.3779999999999999</v>
      </c>
      <c r="J24" s="18">
        <v>1.351</v>
      </c>
      <c r="K24" s="1">
        <v>0</v>
      </c>
      <c r="L24" s="1">
        <v>0</v>
      </c>
      <c r="M24" s="1">
        <v>0</v>
      </c>
      <c r="N24" s="1">
        <v>0</v>
      </c>
      <c r="O24" s="1">
        <v>1.1200000000000001</v>
      </c>
      <c r="P24" s="1">
        <v>0</v>
      </c>
      <c r="Q24" s="1">
        <v>4.97</v>
      </c>
      <c r="R24" s="1">
        <v>0</v>
      </c>
      <c r="S24" s="1">
        <v>4.3099999999999996</v>
      </c>
      <c r="T24" s="1">
        <v>0</v>
      </c>
      <c r="U24" s="1">
        <v>0</v>
      </c>
      <c r="V24" s="1">
        <v>0</v>
      </c>
      <c r="W24" s="1">
        <v>0</v>
      </c>
      <c r="X24" s="8">
        <v>10.4</v>
      </c>
      <c r="Y24" s="2">
        <v>7.22</v>
      </c>
      <c r="Z24" s="2">
        <v>0</v>
      </c>
      <c r="AA24" s="2">
        <v>0</v>
      </c>
      <c r="AB24" s="2">
        <v>0</v>
      </c>
      <c r="AC24" s="2">
        <v>0</v>
      </c>
      <c r="AD24" s="5">
        <v>1.31</v>
      </c>
      <c r="AE24" s="8">
        <v>6.84</v>
      </c>
      <c r="AF24" s="2">
        <v>0</v>
      </c>
      <c r="AG24" s="2">
        <v>0</v>
      </c>
      <c r="AH24" s="2">
        <v>0</v>
      </c>
      <c r="AI24" s="2">
        <v>0</v>
      </c>
      <c r="AJ24" s="2">
        <v>75.540000000000006</v>
      </c>
      <c r="AK24" s="2">
        <v>0</v>
      </c>
      <c r="AL24" s="2">
        <v>2</v>
      </c>
      <c r="AM24" s="1">
        <f t="shared" si="1"/>
        <v>4.97</v>
      </c>
      <c r="AN24" s="1">
        <f t="shared" si="2"/>
        <v>4.3099999999999996</v>
      </c>
      <c r="AO24" s="1">
        <f t="shared" si="3"/>
        <v>1.1200000000000001</v>
      </c>
      <c r="AP24" s="1">
        <f t="shared" si="4"/>
        <v>0</v>
      </c>
      <c r="AQ24" s="1">
        <f t="shared" si="5"/>
        <v>10.399999999999999</v>
      </c>
      <c r="AR24" s="2">
        <v>10.81</v>
      </c>
      <c r="AS24" s="2">
        <v>0</v>
      </c>
      <c r="AT24" s="2">
        <v>0</v>
      </c>
      <c r="AU24" s="2">
        <v>89.19</v>
      </c>
      <c r="AV24" s="1">
        <f t="shared" si="6"/>
        <v>1.1242399999999999</v>
      </c>
      <c r="AW24" s="1">
        <f t="shared" si="7"/>
        <v>0</v>
      </c>
      <c r="AX24" s="1">
        <f t="shared" si="8"/>
        <v>0</v>
      </c>
      <c r="AY24" s="1">
        <f t="shared" si="9"/>
        <v>9.2757599999999982</v>
      </c>
      <c r="AZ24" s="1">
        <f t="shared" si="0"/>
        <v>1.4024221453287196</v>
      </c>
    </row>
    <row r="25" spans="1:52" x14ac:dyDescent="0.2">
      <c r="A25" s="1">
        <v>24</v>
      </c>
      <c r="B25" s="2" t="s">
        <v>42</v>
      </c>
      <c r="C25" s="2" t="s">
        <v>43</v>
      </c>
      <c r="D25" s="2">
        <v>2025</v>
      </c>
      <c r="E25" s="9" t="s">
        <v>56</v>
      </c>
      <c r="F25" s="2">
        <v>7</v>
      </c>
      <c r="G25" s="17">
        <v>1.1240000000000001</v>
      </c>
      <c r="H25" s="17">
        <v>5.2709999999999999</v>
      </c>
      <c r="I25" s="18">
        <v>5.306</v>
      </c>
      <c r="J25" s="18">
        <v>5.2389999999999999</v>
      </c>
      <c r="K25" s="1">
        <v>0</v>
      </c>
      <c r="L25" s="1">
        <v>0</v>
      </c>
      <c r="M25" s="1">
        <v>0</v>
      </c>
      <c r="N25" s="1">
        <v>0</v>
      </c>
      <c r="O25" s="1">
        <v>17.53</v>
      </c>
      <c r="P25" s="1">
        <v>0</v>
      </c>
      <c r="Q25" s="1">
        <v>11.83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2">
        <v>29.36</v>
      </c>
      <c r="Y25" s="2">
        <v>7.74</v>
      </c>
      <c r="Z25" s="2">
        <v>0</v>
      </c>
      <c r="AA25" s="2">
        <v>0</v>
      </c>
      <c r="AB25" s="2">
        <v>0</v>
      </c>
      <c r="AC25" s="2">
        <v>0</v>
      </c>
      <c r="AD25" s="5">
        <v>7.74</v>
      </c>
      <c r="AE25" s="8">
        <v>19.57</v>
      </c>
      <c r="AF25" s="2">
        <v>0</v>
      </c>
      <c r="AG25" s="2">
        <v>0</v>
      </c>
      <c r="AH25" s="2">
        <v>0</v>
      </c>
      <c r="AI25" s="2">
        <v>0</v>
      </c>
      <c r="AJ25" s="2">
        <v>43.33</v>
      </c>
      <c r="AK25" s="2">
        <v>0</v>
      </c>
      <c r="AL25" s="2">
        <v>2</v>
      </c>
      <c r="AM25" s="1">
        <f t="shared" si="1"/>
        <v>11.83</v>
      </c>
      <c r="AN25" s="1">
        <f t="shared" si="2"/>
        <v>0</v>
      </c>
      <c r="AO25" s="1">
        <f>(K25+N25+O25+P25)</f>
        <v>17.53</v>
      </c>
      <c r="AP25" s="1">
        <f t="shared" si="4"/>
        <v>0</v>
      </c>
      <c r="AQ25" s="1">
        <f t="shared" si="5"/>
        <v>29.36</v>
      </c>
      <c r="AR25" s="8">
        <v>59.7</v>
      </c>
      <c r="AS25" s="2">
        <v>0</v>
      </c>
      <c r="AT25" s="2">
        <v>0</v>
      </c>
      <c r="AU25" s="8">
        <v>40.299999999999997</v>
      </c>
      <c r="AV25" s="1">
        <f t="shared" si="6"/>
        <v>17.527920000000002</v>
      </c>
      <c r="AW25" s="1">
        <f t="shared" si="7"/>
        <v>0</v>
      </c>
      <c r="AX25" s="1">
        <f t="shared" si="8"/>
        <v>0</v>
      </c>
      <c r="AY25" s="1">
        <f t="shared" si="9"/>
        <v>11.832079999999998</v>
      </c>
      <c r="AZ25" s="1">
        <f t="shared" si="0"/>
        <v>5.4384083044982692</v>
      </c>
    </row>
    <row r="26" spans="1:52" x14ac:dyDescent="0.2">
      <c r="A26" s="1">
        <v>25</v>
      </c>
      <c r="B26" s="2" t="s">
        <v>42</v>
      </c>
      <c r="C26" s="2" t="s">
        <v>43</v>
      </c>
      <c r="D26" s="2">
        <v>2025</v>
      </c>
      <c r="E26" s="11" t="s">
        <v>57</v>
      </c>
      <c r="F26" s="2">
        <v>1</v>
      </c>
      <c r="G26" s="17">
        <v>1.081</v>
      </c>
      <c r="H26" s="17">
        <v>0.44800000000000001</v>
      </c>
      <c r="I26" s="18">
        <v>0.44800000000000001</v>
      </c>
      <c r="J26" s="18">
        <v>0.23300000000000001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2.31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5">
        <v>2.31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8">
        <v>72.900000000000006</v>
      </c>
      <c r="AF26" s="2">
        <v>0</v>
      </c>
      <c r="AG26" s="2">
        <v>0</v>
      </c>
      <c r="AH26" s="2">
        <v>0</v>
      </c>
      <c r="AI26" s="2">
        <v>0</v>
      </c>
      <c r="AJ26" s="2">
        <v>24.79</v>
      </c>
      <c r="AK26" s="2">
        <v>0</v>
      </c>
      <c r="AL26" s="2">
        <v>1</v>
      </c>
      <c r="AM26" s="1">
        <f t="shared" si="1"/>
        <v>2.31</v>
      </c>
      <c r="AN26" s="1">
        <f t="shared" si="2"/>
        <v>0</v>
      </c>
      <c r="AO26" s="1">
        <f t="shared" si="3"/>
        <v>0</v>
      </c>
      <c r="AP26" s="1">
        <f>(L26+M26+U26+V26+W26)</f>
        <v>0</v>
      </c>
      <c r="AQ26" s="1">
        <f t="shared" si="5"/>
        <v>2.31</v>
      </c>
      <c r="AR26" s="2">
        <v>0</v>
      </c>
      <c r="AS26" s="2">
        <v>0</v>
      </c>
      <c r="AT26" s="2">
        <v>0</v>
      </c>
      <c r="AU26" s="2">
        <v>100</v>
      </c>
      <c r="AV26" s="1">
        <f t="shared" si="6"/>
        <v>0</v>
      </c>
      <c r="AW26" s="1">
        <f t="shared" si="7"/>
        <v>0</v>
      </c>
      <c r="AX26" s="1">
        <f t="shared" si="8"/>
        <v>0</v>
      </c>
      <c r="AY26" s="1">
        <f t="shared" si="9"/>
        <v>2.31</v>
      </c>
      <c r="AZ26" s="1">
        <f t="shared" si="0"/>
        <v>0.24186851211072666</v>
      </c>
    </row>
    <row r="27" spans="1:52" x14ac:dyDescent="0.2">
      <c r="A27" s="1">
        <v>26</v>
      </c>
      <c r="B27" s="2" t="s">
        <v>42</v>
      </c>
      <c r="C27" s="2" t="s">
        <v>43</v>
      </c>
      <c r="D27" s="2">
        <v>2025</v>
      </c>
      <c r="E27" s="11" t="s">
        <v>57</v>
      </c>
      <c r="F27" s="2">
        <v>2</v>
      </c>
      <c r="G27" s="17">
        <v>1.0529999999999999</v>
      </c>
      <c r="H27" s="17">
        <v>0</v>
      </c>
      <c r="I27" s="18">
        <v>0</v>
      </c>
      <c r="J27" s="18">
        <v>-0.245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5">
        <v>1.99</v>
      </c>
      <c r="AE27" s="8">
        <v>83.1</v>
      </c>
      <c r="AF27" s="2">
        <v>0</v>
      </c>
      <c r="AG27" s="2">
        <v>0</v>
      </c>
      <c r="AH27" s="2">
        <v>0</v>
      </c>
      <c r="AI27" s="2">
        <v>0</v>
      </c>
      <c r="AJ27" s="2">
        <v>14.91</v>
      </c>
      <c r="AK27" s="2">
        <v>0</v>
      </c>
      <c r="AL27" s="2">
        <v>0</v>
      </c>
      <c r="AM27" s="1">
        <f t="shared" si="1"/>
        <v>0</v>
      </c>
      <c r="AN27" s="1">
        <f t="shared" si="2"/>
        <v>0</v>
      </c>
      <c r="AO27" s="1">
        <f t="shared" si="3"/>
        <v>0</v>
      </c>
      <c r="AP27" s="1">
        <f t="shared" si="4"/>
        <v>0</v>
      </c>
      <c r="AQ27" s="1">
        <f t="shared" si="5"/>
        <v>0</v>
      </c>
      <c r="AR27" s="2">
        <v>0</v>
      </c>
      <c r="AS27" s="2">
        <v>0</v>
      </c>
      <c r="AT27" s="2">
        <v>0</v>
      </c>
      <c r="AU27" s="2">
        <v>0</v>
      </c>
      <c r="AV27" s="1">
        <f t="shared" si="6"/>
        <v>0</v>
      </c>
      <c r="AW27" s="1">
        <f t="shared" si="7"/>
        <v>0</v>
      </c>
      <c r="AX27" s="1">
        <f t="shared" si="8"/>
        <v>0</v>
      </c>
      <c r="AY27" s="1">
        <f t="shared" si="9"/>
        <v>0</v>
      </c>
      <c r="AZ27" s="1">
        <f t="shared" si="0"/>
        <v>-0.25432525951557095</v>
      </c>
    </row>
    <row r="28" spans="1:52" x14ac:dyDescent="0.2">
      <c r="A28" s="1">
        <v>27</v>
      </c>
      <c r="B28" s="2" t="s">
        <v>42</v>
      </c>
      <c r="C28" s="2" t="s">
        <v>43</v>
      </c>
      <c r="D28" s="2">
        <v>2025</v>
      </c>
      <c r="E28" s="11" t="s">
        <v>57</v>
      </c>
      <c r="F28" s="2">
        <v>3</v>
      </c>
      <c r="G28" s="17">
        <v>1.0549999999999999</v>
      </c>
      <c r="H28" s="17">
        <v>0.185</v>
      </c>
      <c r="I28" s="18">
        <v>0.185</v>
      </c>
      <c r="J28" s="18">
        <v>-2.7999999999999997E-2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0.85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5">
        <v>0.85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5">
        <v>6.73</v>
      </c>
      <c r="AE28" s="8">
        <v>67.489999999999995</v>
      </c>
      <c r="AF28" s="2">
        <v>0</v>
      </c>
      <c r="AG28" s="2">
        <v>0</v>
      </c>
      <c r="AH28" s="2">
        <v>0.4</v>
      </c>
      <c r="AI28" s="2">
        <v>0</v>
      </c>
      <c r="AJ28" s="2">
        <v>24.93</v>
      </c>
      <c r="AK28" s="2">
        <v>0</v>
      </c>
      <c r="AL28" s="2">
        <v>1</v>
      </c>
      <c r="AM28" s="1">
        <f t="shared" si="1"/>
        <v>0.85</v>
      </c>
      <c r="AN28" s="1">
        <f t="shared" si="2"/>
        <v>0</v>
      </c>
      <c r="AO28" s="1">
        <f t="shared" si="3"/>
        <v>0</v>
      </c>
      <c r="AP28" s="1">
        <f t="shared" si="4"/>
        <v>0</v>
      </c>
      <c r="AQ28" s="1">
        <f t="shared" si="5"/>
        <v>0.85</v>
      </c>
      <c r="AR28" s="2">
        <v>0</v>
      </c>
      <c r="AS28" s="2">
        <v>0</v>
      </c>
      <c r="AT28" s="2">
        <v>0</v>
      </c>
      <c r="AU28" s="2">
        <v>100</v>
      </c>
      <c r="AV28" s="1">
        <f t="shared" si="6"/>
        <v>0</v>
      </c>
      <c r="AW28" s="1">
        <f t="shared" si="7"/>
        <v>0</v>
      </c>
      <c r="AX28" s="1">
        <f t="shared" si="8"/>
        <v>0</v>
      </c>
      <c r="AY28" s="1">
        <f t="shared" si="9"/>
        <v>0.85</v>
      </c>
      <c r="AZ28" s="1">
        <f t="shared" si="0"/>
        <v>-2.9065743944636672E-2</v>
      </c>
    </row>
    <row r="29" spans="1:52" x14ac:dyDescent="0.2">
      <c r="A29" s="1">
        <v>28</v>
      </c>
      <c r="B29" s="2" t="s">
        <v>42</v>
      </c>
      <c r="C29" s="2" t="s">
        <v>43</v>
      </c>
      <c r="D29" s="2">
        <v>2025</v>
      </c>
      <c r="E29" s="11" t="s">
        <v>57</v>
      </c>
      <c r="F29" s="2">
        <v>4</v>
      </c>
      <c r="G29" s="17">
        <v>1.042</v>
      </c>
      <c r="H29" s="17">
        <v>0</v>
      </c>
      <c r="I29" s="18">
        <v>0</v>
      </c>
      <c r="J29" s="18">
        <v>-0.13400000000000001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19.190000000000001</v>
      </c>
      <c r="AE29" s="2">
        <v>27.93</v>
      </c>
      <c r="AF29" s="2">
        <v>0</v>
      </c>
      <c r="AG29" s="2">
        <v>0</v>
      </c>
      <c r="AH29" s="2">
        <v>0</v>
      </c>
      <c r="AI29" s="2">
        <v>0</v>
      </c>
      <c r="AJ29" s="2">
        <v>52.88</v>
      </c>
      <c r="AK29" s="2">
        <v>0</v>
      </c>
      <c r="AL29" s="2">
        <v>0</v>
      </c>
      <c r="AM29" s="1">
        <f t="shared" si="1"/>
        <v>0</v>
      </c>
      <c r="AN29" s="1">
        <f>(S29+T29)</f>
        <v>0</v>
      </c>
      <c r="AO29" s="1">
        <f t="shared" si="3"/>
        <v>0</v>
      </c>
      <c r="AP29" s="1">
        <f t="shared" si="4"/>
        <v>0</v>
      </c>
      <c r="AQ29" s="1">
        <f t="shared" si="5"/>
        <v>0</v>
      </c>
      <c r="AR29" s="2">
        <v>0</v>
      </c>
      <c r="AS29" s="2">
        <v>0</v>
      </c>
      <c r="AT29" s="2">
        <v>0</v>
      </c>
      <c r="AU29" s="2">
        <v>0</v>
      </c>
      <c r="AV29" s="1">
        <f t="shared" si="6"/>
        <v>0</v>
      </c>
      <c r="AW29" s="1">
        <f t="shared" si="7"/>
        <v>0</v>
      </c>
      <c r="AX29" s="1">
        <f t="shared" si="8"/>
        <v>0</v>
      </c>
      <c r="AY29" s="1">
        <f t="shared" si="9"/>
        <v>0</v>
      </c>
      <c r="AZ29" s="1">
        <f t="shared" si="0"/>
        <v>-0.13910034602076124</v>
      </c>
    </row>
    <row r="30" spans="1:52" x14ac:dyDescent="0.2">
      <c r="A30" s="1">
        <v>29</v>
      </c>
      <c r="B30" s="2" t="s">
        <v>42</v>
      </c>
      <c r="C30" s="2" t="s">
        <v>43</v>
      </c>
      <c r="D30" s="2">
        <v>2025</v>
      </c>
      <c r="E30" s="11" t="s">
        <v>57</v>
      </c>
      <c r="F30" s="2">
        <v>5</v>
      </c>
      <c r="G30" s="17">
        <v>1.042</v>
      </c>
      <c r="H30" s="17">
        <v>0.115</v>
      </c>
      <c r="I30" s="18">
        <v>0.115</v>
      </c>
      <c r="J30" s="18">
        <v>-1.2999999999999998E-2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0.57999999999999996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5">
        <v>0.57999999999999996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5">
        <v>9.6</v>
      </c>
      <c r="AE30" s="8">
        <v>35.32</v>
      </c>
      <c r="AF30" s="2">
        <v>0</v>
      </c>
      <c r="AG30" s="2">
        <v>0</v>
      </c>
      <c r="AH30" s="2">
        <v>0</v>
      </c>
      <c r="AI30" s="2">
        <v>0</v>
      </c>
      <c r="AJ30" s="2">
        <v>54.51</v>
      </c>
      <c r="AK30" s="2">
        <v>0</v>
      </c>
      <c r="AL30" s="2">
        <v>1</v>
      </c>
      <c r="AM30" s="1">
        <f t="shared" si="1"/>
        <v>0.57999999999999996</v>
      </c>
      <c r="AN30" s="1">
        <f t="shared" si="2"/>
        <v>0</v>
      </c>
      <c r="AO30" s="1">
        <f t="shared" si="3"/>
        <v>0</v>
      </c>
      <c r="AP30" s="1">
        <f t="shared" si="4"/>
        <v>0</v>
      </c>
      <c r="AQ30" s="1">
        <f t="shared" si="5"/>
        <v>0.57999999999999996</v>
      </c>
      <c r="AR30" s="2">
        <v>0</v>
      </c>
      <c r="AS30" s="2">
        <v>0</v>
      </c>
      <c r="AT30" s="2">
        <v>0</v>
      </c>
      <c r="AU30" s="2">
        <v>100</v>
      </c>
      <c r="AV30" s="1">
        <f t="shared" si="6"/>
        <v>0</v>
      </c>
      <c r="AW30" s="1">
        <f t="shared" si="7"/>
        <v>0</v>
      </c>
      <c r="AX30" s="1">
        <f t="shared" si="8"/>
        <v>0</v>
      </c>
      <c r="AY30" s="1">
        <f t="shared" si="9"/>
        <v>0.57999999999999996</v>
      </c>
      <c r="AZ30" s="1">
        <f t="shared" si="0"/>
        <v>-1.3494809688581312E-2</v>
      </c>
    </row>
    <row r="31" spans="1:52" x14ac:dyDescent="0.2">
      <c r="A31" s="1">
        <v>30</v>
      </c>
      <c r="B31" s="2" t="s">
        <v>42</v>
      </c>
      <c r="C31" s="2" t="s">
        <v>43</v>
      </c>
      <c r="D31" s="2">
        <v>2025</v>
      </c>
      <c r="E31" s="11" t="s">
        <v>57</v>
      </c>
      <c r="F31" s="2">
        <v>6</v>
      </c>
      <c r="G31" s="17">
        <v>1.0489999999999999</v>
      </c>
      <c r="H31" s="17">
        <v>0.248</v>
      </c>
      <c r="I31" s="18">
        <v>0.248</v>
      </c>
      <c r="J31" s="18">
        <v>6.5000000000000002E-2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">
        <v>1.43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5">
        <v>1.43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33.369999999999997</v>
      </c>
      <c r="AE31" s="2">
        <v>30.41</v>
      </c>
      <c r="AF31" s="2">
        <v>0</v>
      </c>
      <c r="AG31" s="2">
        <v>0</v>
      </c>
      <c r="AH31" s="2">
        <v>0</v>
      </c>
      <c r="AI31" s="2">
        <v>0</v>
      </c>
      <c r="AJ31" s="8">
        <v>34.799999999999997</v>
      </c>
      <c r="AK31" s="2">
        <v>0</v>
      </c>
      <c r="AL31" s="2">
        <v>1</v>
      </c>
      <c r="AM31" s="1">
        <f t="shared" si="1"/>
        <v>1.43</v>
      </c>
      <c r="AN31" s="1">
        <f t="shared" si="2"/>
        <v>0</v>
      </c>
      <c r="AO31" s="1">
        <f t="shared" si="3"/>
        <v>0</v>
      </c>
      <c r="AP31" s="1">
        <f t="shared" si="4"/>
        <v>0</v>
      </c>
      <c r="AQ31" s="1">
        <f t="shared" si="5"/>
        <v>1.43</v>
      </c>
      <c r="AR31" s="2">
        <v>0</v>
      </c>
      <c r="AS31" s="2">
        <v>0</v>
      </c>
      <c r="AT31" s="2">
        <v>0</v>
      </c>
      <c r="AU31" s="2">
        <v>100</v>
      </c>
      <c r="AV31" s="1">
        <f t="shared" si="6"/>
        <v>0</v>
      </c>
      <c r="AW31" s="1">
        <f t="shared" si="7"/>
        <v>0</v>
      </c>
      <c r="AX31" s="1">
        <f t="shared" si="8"/>
        <v>0</v>
      </c>
      <c r="AY31" s="1">
        <f t="shared" si="9"/>
        <v>1.43</v>
      </c>
      <c r="AZ31" s="1">
        <f t="shared" si="0"/>
        <v>6.7474048442906567E-2</v>
      </c>
    </row>
    <row r="32" spans="1:52" x14ac:dyDescent="0.2">
      <c r="A32" s="1">
        <v>31</v>
      </c>
      <c r="B32" s="2" t="s">
        <v>42</v>
      </c>
      <c r="C32" s="2" t="s">
        <v>43</v>
      </c>
      <c r="D32" s="2">
        <v>2025</v>
      </c>
      <c r="E32" s="11" t="s">
        <v>57</v>
      </c>
      <c r="F32" s="2">
        <v>7</v>
      </c>
      <c r="G32" s="17">
        <v>1.167</v>
      </c>
      <c r="H32" s="17">
        <v>0</v>
      </c>
      <c r="I32" s="18">
        <v>0</v>
      </c>
      <c r="J32" s="18">
        <v>-0.308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40.450000000000003</v>
      </c>
      <c r="AE32" s="8">
        <v>56.3</v>
      </c>
      <c r="AF32" s="2">
        <v>0</v>
      </c>
      <c r="AG32" s="2">
        <v>0</v>
      </c>
      <c r="AH32" s="2">
        <v>0</v>
      </c>
      <c r="AI32" s="2">
        <v>0</v>
      </c>
      <c r="AJ32" s="5">
        <v>3.26</v>
      </c>
      <c r="AK32" s="2">
        <v>0</v>
      </c>
      <c r="AL32" s="2">
        <v>0</v>
      </c>
      <c r="AM32" s="1">
        <f t="shared" si="1"/>
        <v>0</v>
      </c>
      <c r="AN32" s="1">
        <f t="shared" si="2"/>
        <v>0</v>
      </c>
      <c r="AO32" s="1">
        <f t="shared" si="3"/>
        <v>0</v>
      </c>
      <c r="AP32" s="1">
        <f t="shared" si="4"/>
        <v>0</v>
      </c>
      <c r="AQ32" s="1">
        <f t="shared" si="5"/>
        <v>0</v>
      </c>
      <c r="AR32" s="2">
        <v>0</v>
      </c>
      <c r="AS32" s="2">
        <v>0</v>
      </c>
      <c r="AT32" s="2">
        <v>0</v>
      </c>
      <c r="AU32" s="2">
        <v>0</v>
      </c>
      <c r="AV32" s="1">
        <f t="shared" si="6"/>
        <v>0</v>
      </c>
      <c r="AW32" s="1">
        <f>(AS32*AQ32)/100</f>
        <v>0</v>
      </c>
      <c r="AX32" s="1">
        <f t="shared" si="8"/>
        <v>0</v>
      </c>
      <c r="AY32" s="1">
        <f t="shared" si="9"/>
        <v>0</v>
      </c>
      <c r="AZ32" s="1">
        <f t="shared" si="0"/>
        <v>-0.31972318339100342</v>
      </c>
    </row>
    <row r="33" spans="1:52" x14ac:dyDescent="0.2">
      <c r="A33" s="1">
        <v>32</v>
      </c>
      <c r="B33" s="2" t="s">
        <v>42</v>
      </c>
      <c r="C33" s="2" t="s">
        <v>43</v>
      </c>
      <c r="D33" s="2">
        <v>2025</v>
      </c>
      <c r="E33" s="11" t="s">
        <v>57</v>
      </c>
      <c r="F33" s="2">
        <v>8</v>
      </c>
      <c r="G33" s="17">
        <v>1.4330000000000001</v>
      </c>
      <c r="H33" s="17">
        <v>0.68500000000000005</v>
      </c>
      <c r="I33" s="18">
        <v>0.68500000000000005</v>
      </c>
      <c r="J33" s="18">
        <v>0.34800000000000003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2.37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5">
        <v>2.37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12.21</v>
      </c>
      <c r="AE33" s="2">
        <v>74.11</v>
      </c>
      <c r="AF33" s="2">
        <v>0</v>
      </c>
      <c r="AG33" s="2">
        <v>0</v>
      </c>
      <c r="AH33" s="2">
        <v>0</v>
      </c>
      <c r="AI33" s="2">
        <v>10.050000000000001</v>
      </c>
      <c r="AJ33" s="8">
        <v>1.26</v>
      </c>
      <c r="AK33" s="2">
        <v>0</v>
      </c>
      <c r="AL33" s="2">
        <v>1</v>
      </c>
      <c r="AM33" s="1">
        <f t="shared" si="1"/>
        <v>2.37</v>
      </c>
      <c r="AN33" s="1">
        <f t="shared" si="2"/>
        <v>0</v>
      </c>
      <c r="AO33" s="1">
        <f t="shared" si="3"/>
        <v>0</v>
      </c>
      <c r="AP33" s="1">
        <f t="shared" si="4"/>
        <v>0</v>
      </c>
      <c r="AQ33" s="1">
        <f t="shared" si="5"/>
        <v>2.37</v>
      </c>
      <c r="AR33" s="2">
        <v>0</v>
      </c>
      <c r="AS33" s="2">
        <v>0</v>
      </c>
      <c r="AT33" s="2">
        <v>0</v>
      </c>
      <c r="AU33" s="2">
        <v>100</v>
      </c>
      <c r="AV33" s="1">
        <f t="shared" si="6"/>
        <v>0</v>
      </c>
      <c r="AW33" s="1">
        <f t="shared" si="7"/>
        <v>0</v>
      </c>
      <c r="AX33" s="1">
        <f t="shared" si="8"/>
        <v>0</v>
      </c>
      <c r="AY33" s="1">
        <f t="shared" si="9"/>
        <v>2.37</v>
      </c>
      <c r="AZ33" s="1">
        <f t="shared" si="0"/>
        <v>0.36124567474048441</v>
      </c>
    </row>
    <row r="34" spans="1:52" x14ac:dyDescent="0.2">
      <c r="A34" s="1">
        <v>33</v>
      </c>
      <c r="B34" s="2" t="s">
        <v>42</v>
      </c>
      <c r="C34" s="2" t="s">
        <v>43</v>
      </c>
      <c r="D34" s="2">
        <v>2025</v>
      </c>
      <c r="E34" s="11" t="s">
        <v>57</v>
      </c>
      <c r="F34" s="2">
        <v>9</v>
      </c>
      <c r="G34" s="17">
        <v>1.0620000000000001</v>
      </c>
      <c r="H34" s="17">
        <v>0</v>
      </c>
      <c r="I34" s="18">
        <v>0</v>
      </c>
      <c r="J34" s="18">
        <v>-6.6000000000000003E-2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5">
        <v>9.1300000000000008</v>
      </c>
      <c r="AE34" s="8">
        <v>13.56</v>
      </c>
      <c r="AF34" s="2">
        <v>0</v>
      </c>
      <c r="AG34" s="2">
        <v>0</v>
      </c>
      <c r="AH34" s="2">
        <v>0</v>
      </c>
      <c r="AI34" s="2">
        <v>47.65</v>
      </c>
      <c r="AJ34" s="2">
        <v>29.66</v>
      </c>
      <c r="AK34" s="2">
        <v>0</v>
      </c>
      <c r="AL34" s="2">
        <v>0</v>
      </c>
      <c r="AM34" s="1">
        <f t="shared" si="1"/>
        <v>0</v>
      </c>
      <c r="AN34" s="1">
        <f t="shared" si="2"/>
        <v>0</v>
      </c>
      <c r="AO34" s="1">
        <f t="shared" si="3"/>
        <v>0</v>
      </c>
      <c r="AP34" s="1">
        <f t="shared" si="4"/>
        <v>0</v>
      </c>
      <c r="AQ34" s="1">
        <f t="shared" si="5"/>
        <v>0</v>
      </c>
      <c r="AR34" s="2">
        <v>0</v>
      </c>
      <c r="AS34" s="2">
        <v>0</v>
      </c>
      <c r="AT34" s="2">
        <v>0</v>
      </c>
      <c r="AU34" s="2">
        <v>0</v>
      </c>
      <c r="AV34" s="1">
        <f t="shared" si="6"/>
        <v>0</v>
      </c>
      <c r="AW34" s="1">
        <f t="shared" si="7"/>
        <v>0</v>
      </c>
      <c r="AX34" s="1">
        <f t="shared" si="8"/>
        <v>0</v>
      </c>
      <c r="AY34" s="1">
        <f t="shared" si="9"/>
        <v>0</v>
      </c>
      <c r="AZ34" s="1">
        <f t="shared" si="0"/>
        <v>-6.8512110726643594E-2</v>
      </c>
    </row>
    <row r="35" spans="1:52" x14ac:dyDescent="0.2">
      <c r="A35" s="1">
        <v>34</v>
      </c>
      <c r="B35" s="2" t="s">
        <v>42</v>
      </c>
      <c r="C35" s="2" t="s">
        <v>43</v>
      </c>
      <c r="D35" s="2">
        <v>2025</v>
      </c>
      <c r="E35" s="11" t="s">
        <v>57</v>
      </c>
      <c r="F35" s="2">
        <v>10</v>
      </c>
      <c r="G35" s="17">
        <v>1.2370000000000001</v>
      </c>
      <c r="H35" s="17">
        <v>0.20300000000000001</v>
      </c>
      <c r="I35" s="18">
        <v>0.20300000000000001</v>
      </c>
      <c r="J35" s="18">
        <v>-4.4999999999999984E-2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0.97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5">
        <v>0.97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5">
        <v>5.09</v>
      </c>
      <c r="AE35" s="8">
        <v>68.47</v>
      </c>
      <c r="AF35" s="2">
        <v>0</v>
      </c>
      <c r="AG35" s="2">
        <v>0</v>
      </c>
      <c r="AH35" s="2">
        <v>0</v>
      </c>
      <c r="AI35" s="2">
        <v>18.670000000000002</v>
      </c>
      <c r="AJ35" s="2">
        <v>6.79</v>
      </c>
      <c r="AK35" s="2">
        <v>0</v>
      </c>
      <c r="AL35" s="2">
        <v>1</v>
      </c>
      <c r="AM35" s="1">
        <f t="shared" si="1"/>
        <v>0.97</v>
      </c>
      <c r="AN35" s="1">
        <f t="shared" si="2"/>
        <v>0</v>
      </c>
      <c r="AO35" s="1">
        <f t="shared" si="3"/>
        <v>0</v>
      </c>
      <c r="AP35" s="1">
        <f t="shared" si="4"/>
        <v>0</v>
      </c>
      <c r="AQ35" s="1">
        <f t="shared" si="5"/>
        <v>0.97</v>
      </c>
      <c r="AR35" s="2">
        <v>0</v>
      </c>
      <c r="AS35" s="2">
        <v>0</v>
      </c>
      <c r="AT35" s="2">
        <v>0</v>
      </c>
      <c r="AU35" s="2">
        <v>100</v>
      </c>
      <c r="AV35" s="1">
        <f>(AR35*AQ35)/100</f>
        <v>0</v>
      </c>
      <c r="AW35" s="1">
        <f t="shared" si="7"/>
        <v>0</v>
      </c>
      <c r="AX35" s="1">
        <f t="shared" si="8"/>
        <v>0</v>
      </c>
      <c r="AY35" s="1">
        <f t="shared" si="9"/>
        <v>0.97</v>
      </c>
      <c r="AZ35" s="1">
        <f t="shared" si="0"/>
        <v>-4.671280276816607E-2</v>
      </c>
    </row>
    <row r="36" spans="1:52" x14ac:dyDescent="0.2">
      <c r="A36" s="1">
        <v>35</v>
      </c>
      <c r="B36" s="2" t="s">
        <v>42</v>
      </c>
      <c r="C36" s="2" t="s">
        <v>43</v>
      </c>
      <c r="D36" s="2">
        <v>2025</v>
      </c>
      <c r="E36" s="11" t="s">
        <v>57</v>
      </c>
      <c r="F36" s="2">
        <v>1</v>
      </c>
      <c r="G36" s="17">
        <v>1.2010000000000001</v>
      </c>
      <c r="H36" s="17">
        <v>0</v>
      </c>
      <c r="I36" s="18">
        <v>0</v>
      </c>
      <c r="J36" s="18">
        <v>-0.25900000000000001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26.89</v>
      </c>
      <c r="AE36" s="2">
        <v>52.04</v>
      </c>
      <c r="AF36" s="2">
        <v>0</v>
      </c>
      <c r="AG36" s="2">
        <v>0</v>
      </c>
      <c r="AH36" s="2">
        <v>0</v>
      </c>
      <c r="AI36" s="2">
        <v>0</v>
      </c>
      <c r="AJ36" s="2">
        <v>21.07</v>
      </c>
      <c r="AK36" s="2">
        <v>0</v>
      </c>
      <c r="AL36" s="2">
        <v>0</v>
      </c>
      <c r="AM36" s="1">
        <f t="shared" ref="AM36:AM44" si="10">(Q36+R36)</f>
        <v>0</v>
      </c>
      <c r="AN36" s="1">
        <f t="shared" ref="AN36:AN41" si="11">(S36+T36)</f>
        <v>0</v>
      </c>
      <c r="AO36" s="1">
        <f t="shared" ref="AO36:AO47" si="12">(K36+N36+O36+P36)</f>
        <v>0</v>
      </c>
      <c r="AP36" s="1">
        <f t="shared" ref="AP36:AP37" si="13">(L36+M36+U36+V36+W36)</f>
        <v>0</v>
      </c>
      <c r="AQ36" s="1">
        <f>(AM36+AN36+AO36+AP36)</f>
        <v>0</v>
      </c>
      <c r="AR36" s="2">
        <v>0</v>
      </c>
      <c r="AS36" s="2">
        <v>0</v>
      </c>
      <c r="AT36" s="2">
        <v>0</v>
      </c>
      <c r="AU36" s="2">
        <v>0</v>
      </c>
      <c r="AV36" s="1">
        <f t="shared" ref="AV36:AV40" si="14">(AR36*AQ36)/100</f>
        <v>0</v>
      </c>
      <c r="AW36" s="1">
        <f t="shared" ref="AW36:AW43" si="15">(AS36*AQ36)/100</f>
        <v>0</v>
      </c>
      <c r="AX36" s="1">
        <f t="shared" ref="AX36:AX65" si="16">(AT36*AQ36)/100</f>
        <v>0</v>
      </c>
      <c r="AY36" s="1">
        <f t="shared" ref="AY36:AY66" si="17">(AU36*AQ36)/100</f>
        <v>0</v>
      </c>
      <c r="AZ36" s="1">
        <f t="shared" si="0"/>
        <v>-0.26885813148788928</v>
      </c>
    </row>
    <row r="37" spans="1:52" x14ac:dyDescent="0.2">
      <c r="A37" s="1">
        <v>36</v>
      </c>
      <c r="B37" s="2" t="s">
        <v>42</v>
      </c>
      <c r="C37" s="2" t="s">
        <v>43</v>
      </c>
      <c r="D37" s="2">
        <v>2025</v>
      </c>
      <c r="E37" s="11" t="s">
        <v>57</v>
      </c>
      <c r="F37" s="2">
        <v>2</v>
      </c>
      <c r="G37" s="17">
        <v>1.1970000000000001</v>
      </c>
      <c r="H37" s="17">
        <v>0</v>
      </c>
      <c r="I37" s="18">
        <v>0</v>
      </c>
      <c r="J37" s="18">
        <v>-0.27600000000000002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41.35</v>
      </c>
      <c r="AE37" s="8">
        <v>43.11</v>
      </c>
      <c r="AF37" s="2">
        <v>0</v>
      </c>
      <c r="AG37" s="2">
        <v>0</v>
      </c>
      <c r="AH37" s="2">
        <v>0</v>
      </c>
      <c r="AI37" s="2">
        <v>0</v>
      </c>
      <c r="AJ37" s="2">
        <v>15.54</v>
      </c>
      <c r="AK37" s="2">
        <v>0</v>
      </c>
      <c r="AL37" s="2">
        <v>0</v>
      </c>
      <c r="AM37" s="1">
        <f t="shared" si="10"/>
        <v>0</v>
      </c>
      <c r="AN37" s="1">
        <f t="shared" si="11"/>
        <v>0</v>
      </c>
      <c r="AO37" s="1">
        <f t="shared" si="12"/>
        <v>0</v>
      </c>
      <c r="AP37" s="1">
        <f t="shared" si="13"/>
        <v>0</v>
      </c>
      <c r="AQ37" s="1">
        <f t="shared" ref="AQ37:AQ65" si="18">(AM37+AN37+AO37+AP37)</f>
        <v>0</v>
      </c>
      <c r="AR37" s="2">
        <v>0</v>
      </c>
      <c r="AS37" s="2">
        <v>0</v>
      </c>
      <c r="AT37" s="2">
        <v>0</v>
      </c>
      <c r="AU37" s="2">
        <v>0</v>
      </c>
      <c r="AV37" s="1">
        <f t="shared" si="14"/>
        <v>0</v>
      </c>
      <c r="AW37" s="1">
        <f t="shared" si="15"/>
        <v>0</v>
      </c>
      <c r="AX37" s="1">
        <f t="shared" si="16"/>
        <v>0</v>
      </c>
      <c r="AY37" s="1">
        <f t="shared" si="17"/>
        <v>0</v>
      </c>
      <c r="AZ37" s="1">
        <f t="shared" si="0"/>
        <v>-0.28650519031141869</v>
      </c>
    </row>
    <row r="38" spans="1:52" x14ac:dyDescent="0.2">
      <c r="A38" s="1">
        <v>37</v>
      </c>
      <c r="B38" s="2" t="s">
        <v>42</v>
      </c>
      <c r="C38" s="2" t="s">
        <v>43</v>
      </c>
      <c r="D38" s="2">
        <v>2025</v>
      </c>
      <c r="E38" s="11" t="s">
        <v>57</v>
      </c>
      <c r="F38" s="2">
        <v>3</v>
      </c>
      <c r="G38" s="17">
        <v>1.2170000000000001</v>
      </c>
      <c r="H38" s="17">
        <v>0.442</v>
      </c>
      <c r="I38" s="18">
        <v>0.442</v>
      </c>
      <c r="J38" s="18">
        <v>0.23500000000000001</v>
      </c>
      <c r="K38" s="1">
        <v>0</v>
      </c>
      <c r="L38" s="1">
        <v>0</v>
      </c>
      <c r="M38" s="1">
        <v>0</v>
      </c>
      <c r="N38" s="1">
        <v>0</v>
      </c>
      <c r="O38" s="1">
        <v>1.73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5">
        <v>1.73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8">
        <v>8.3000000000000007</v>
      </c>
      <c r="AE38" s="8">
        <v>54.15</v>
      </c>
      <c r="AF38" s="2">
        <v>0</v>
      </c>
      <c r="AG38" s="2">
        <v>0</v>
      </c>
      <c r="AH38" s="2">
        <v>0</v>
      </c>
      <c r="AI38" s="2">
        <v>0</v>
      </c>
      <c r="AJ38" s="8">
        <v>35.83</v>
      </c>
      <c r="AK38" s="2">
        <v>0</v>
      </c>
      <c r="AL38" s="2">
        <v>1</v>
      </c>
      <c r="AM38" s="1">
        <f t="shared" si="10"/>
        <v>0</v>
      </c>
      <c r="AN38" s="1">
        <f t="shared" si="11"/>
        <v>0</v>
      </c>
      <c r="AO38" s="1">
        <f t="shared" si="12"/>
        <v>1.73</v>
      </c>
      <c r="AP38" s="1">
        <f>(L38+M38+U38+V38+W38)</f>
        <v>0</v>
      </c>
      <c r="AQ38" s="1">
        <f t="shared" si="18"/>
        <v>1.73</v>
      </c>
      <c r="AR38" s="2">
        <v>100</v>
      </c>
      <c r="AS38" s="2">
        <v>0</v>
      </c>
      <c r="AT38" s="2">
        <v>0</v>
      </c>
      <c r="AU38" s="2">
        <v>0</v>
      </c>
      <c r="AV38" s="1">
        <f t="shared" si="14"/>
        <v>1.73</v>
      </c>
      <c r="AW38" s="1">
        <f t="shared" si="15"/>
        <v>0</v>
      </c>
      <c r="AX38" s="1">
        <f t="shared" si="16"/>
        <v>0</v>
      </c>
      <c r="AY38" s="1">
        <f t="shared" si="17"/>
        <v>0</v>
      </c>
      <c r="AZ38" s="1">
        <f t="shared" si="0"/>
        <v>0.24394463667820071</v>
      </c>
    </row>
    <row r="39" spans="1:52" x14ac:dyDescent="0.2">
      <c r="A39" s="1">
        <v>38</v>
      </c>
      <c r="B39" s="2" t="s">
        <v>42</v>
      </c>
      <c r="C39" s="2" t="s">
        <v>43</v>
      </c>
      <c r="D39" s="2">
        <v>2025</v>
      </c>
      <c r="E39" s="11" t="s">
        <v>57</v>
      </c>
      <c r="F39" s="2">
        <v>4</v>
      </c>
      <c r="G39" s="17">
        <v>1.3280000000000001</v>
      </c>
      <c r="H39" s="18">
        <v>0.42</v>
      </c>
      <c r="I39" s="18">
        <v>0.42</v>
      </c>
      <c r="J39" s="18">
        <v>0.14399999999999996</v>
      </c>
      <c r="K39" s="1">
        <v>2.11</v>
      </c>
      <c r="L39" s="1">
        <v>2.11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-2.11</v>
      </c>
      <c r="X39" s="5">
        <v>2.11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29.89</v>
      </c>
      <c r="AE39" s="8">
        <v>46.31</v>
      </c>
      <c r="AF39" s="2">
        <v>0</v>
      </c>
      <c r="AG39" s="2">
        <v>0</v>
      </c>
      <c r="AH39" s="2">
        <v>0</v>
      </c>
      <c r="AI39" s="2">
        <v>0</v>
      </c>
      <c r="AJ39" s="2">
        <v>21.69</v>
      </c>
      <c r="AK39" s="2">
        <v>0</v>
      </c>
      <c r="AL39" s="2">
        <v>1</v>
      </c>
      <c r="AM39" s="1">
        <f t="shared" si="10"/>
        <v>0</v>
      </c>
      <c r="AN39" s="1">
        <f t="shared" si="11"/>
        <v>0</v>
      </c>
      <c r="AO39" s="1">
        <f t="shared" si="12"/>
        <v>2.11</v>
      </c>
      <c r="AP39" s="1">
        <f t="shared" ref="AP39:AP65" si="19">(L39+M39+U39+V39+W39)</f>
        <v>0</v>
      </c>
      <c r="AQ39" s="1">
        <f t="shared" si="18"/>
        <v>2.11</v>
      </c>
      <c r="AR39" s="2">
        <v>100</v>
      </c>
      <c r="AS39" s="2">
        <v>0</v>
      </c>
      <c r="AT39" s="2">
        <v>0</v>
      </c>
      <c r="AU39" s="2">
        <v>0</v>
      </c>
      <c r="AV39" s="1">
        <f t="shared" si="14"/>
        <v>2.11</v>
      </c>
      <c r="AW39" s="1">
        <f t="shared" si="15"/>
        <v>0</v>
      </c>
      <c r="AX39" s="1">
        <f t="shared" si="16"/>
        <v>0</v>
      </c>
      <c r="AY39" s="1">
        <f t="shared" si="17"/>
        <v>0</v>
      </c>
      <c r="AZ39" s="1">
        <f t="shared" si="0"/>
        <v>0.14948096885813145</v>
      </c>
    </row>
    <row r="40" spans="1:52" x14ac:dyDescent="0.2">
      <c r="A40" s="1">
        <v>39</v>
      </c>
      <c r="B40" s="2" t="s">
        <v>42</v>
      </c>
      <c r="C40" s="2" t="s">
        <v>43</v>
      </c>
      <c r="D40" s="2">
        <v>2025</v>
      </c>
      <c r="E40" s="11" t="s">
        <v>57</v>
      </c>
      <c r="F40" s="2">
        <v>5</v>
      </c>
      <c r="G40" s="17">
        <v>1.204</v>
      </c>
      <c r="H40" s="17">
        <v>2.282</v>
      </c>
      <c r="I40" s="18">
        <v>2.3140000000000001</v>
      </c>
      <c r="J40" s="18">
        <v>2.044</v>
      </c>
      <c r="K40" s="1">
        <v>12.62</v>
      </c>
      <c r="L40" s="1">
        <v>12.62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-12.62</v>
      </c>
      <c r="X40" s="2">
        <v>12.62</v>
      </c>
      <c r="Y40" s="2">
        <v>6.64</v>
      </c>
      <c r="Z40" s="2">
        <v>0</v>
      </c>
      <c r="AA40" s="2">
        <v>0</v>
      </c>
      <c r="AB40" s="2">
        <v>0</v>
      </c>
      <c r="AC40" s="2">
        <v>0</v>
      </c>
      <c r="AD40" s="2">
        <v>86.63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5">
        <v>0.75</v>
      </c>
      <c r="AK40" s="2">
        <v>0</v>
      </c>
      <c r="AL40" s="2">
        <v>1</v>
      </c>
      <c r="AM40" s="1">
        <f t="shared" si="10"/>
        <v>0</v>
      </c>
      <c r="AN40" s="1">
        <f t="shared" si="11"/>
        <v>0</v>
      </c>
      <c r="AO40" s="1">
        <f t="shared" si="12"/>
        <v>12.62</v>
      </c>
      <c r="AP40" s="1">
        <f t="shared" si="19"/>
        <v>0</v>
      </c>
      <c r="AQ40" s="1">
        <f t="shared" si="18"/>
        <v>12.62</v>
      </c>
      <c r="AR40" s="2">
        <v>100</v>
      </c>
      <c r="AS40" s="2">
        <v>0</v>
      </c>
      <c r="AT40" s="2">
        <v>0</v>
      </c>
      <c r="AU40" s="2">
        <v>0</v>
      </c>
      <c r="AV40" s="1">
        <f t="shared" si="14"/>
        <v>12.62</v>
      </c>
      <c r="AW40" s="1">
        <f t="shared" si="15"/>
        <v>0</v>
      </c>
      <c r="AX40" s="1">
        <f t="shared" si="16"/>
        <v>0</v>
      </c>
      <c r="AY40" s="1">
        <f t="shared" si="17"/>
        <v>0</v>
      </c>
      <c r="AZ40" s="1">
        <f t="shared" si="0"/>
        <v>2.1217993079584772</v>
      </c>
    </row>
    <row r="41" spans="1:52" x14ac:dyDescent="0.2">
      <c r="A41" s="1">
        <v>40</v>
      </c>
      <c r="B41" s="2" t="s">
        <v>42</v>
      </c>
      <c r="C41" s="2" t="s">
        <v>43</v>
      </c>
      <c r="D41" s="2">
        <v>2025</v>
      </c>
      <c r="E41" s="11" t="s">
        <v>57</v>
      </c>
      <c r="F41" s="2">
        <v>6</v>
      </c>
      <c r="G41" s="17">
        <v>1.282</v>
      </c>
      <c r="H41" s="17">
        <v>2.6579999999999999</v>
      </c>
      <c r="I41" s="18">
        <v>2.7949999999999999</v>
      </c>
      <c r="J41" s="18">
        <v>2.5629999999999997</v>
      </c>
      <c r="K41" s="1">
        <v>13.81</v>
      </c>
      <c r="L41" s="1">
        <v>13.81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-13.81</v>
      </c>
      <c r="X41" s="2">
        <v>13.81</v>
      </c>
      <c r="Y41" s="2">
        <v>26.44</v>
      </c>
      <c r="Z41" s="2">
        <v>0</v>
      </c>
      <c r="AA41" s="2">
        <v>0</v>
      </c>
      <c r="AB41" s="2">
        <v>0</v>
      </c>
      <c r="AC41" s="2">
        <v>0</v>
      </c>
      <c r="AD41" s="2">
        <v>32.61</v>
      </c>
      <c r="AE41" s="2">
        <v>51.95</v>
      </c>
      <c r="AF41" s="2">
        <v>0</v>
      </c>
      <c r="AG41" s="2">
        <v>0</v>
      </c>
      <c r="AH41" s="2">
        <v>0</v>
      </c>
      <c r="AI41" s="2">
        <v>0</v>
      </c>
      <c r="AJ41" s="5">
        <v>1.64</v>
      </c>
      <c r="AK41" s="2">
        <v>0</v>
      </c>
      <c r="AL41" s="2">
        <v>1</v>
      </c>
      <c r="AM41" s="1">
        <f t="shared" si="10"/>
        <v>0</v>
      </c>
      <c r="AN41" s="1">
        <f t="shared" si="11"/>
        <v>0</v>
      </c>
      <c r="AO41" s="1">
        <f t="shared" si="12"/>
        <v>13.81</v>
      </c>
      <c r="AP41" s="1">
        <f t="shared" si="19"/>
        <v>0</v>
      </c>
      <c r="AQ41" s="1">
        <f t="shared" si="18"/>
        <v>13.81</v>
      </c>
      <c r="AR41" s="2">
        <v>100</v>
      </c>
      <c r="AS41" s="2">
        <v>0</v>
      </c>
      <c r="AT41" s="2">
        <v>0</v>
      </c>
      <c r="AU41" s="2">
        <v>0</v>
      </c>
      <c r="AV41" s="1">
        <f>(AR41*AQ41)/100</f>
        <v>13.81</v>
      </c>
      <c r="AW41" s="1">
        <f t="shared" si="15"/>
        <v>0</v>
      </c>
      <c r="AX41" s="1">
        <f t="shared" si="16"/>
        <v>0</v>
      </c>
      <c r="AY41" s="1">
        <f t="shared" si="17"/>
        <v>0</v>
      </c>
      <c r="AZ41" s="1">
        <f t="shared" si="0"/>
        <v>2.6605536332179929</v>
      </c>
    </row>
    <row r="42" spans="1:52" x14ac:dyDescent="0.2">
      <c r="A42" s="1">
        <v>41</v>
      </c>
      <c r="B42" s="2" t="s">
        <v>42</v>
      </c>
      <c r="C42" s="2" t="s">
        <v>43</v>
      </c>
      <c r="D42" s="2">
        <v>2025</v>
      </c>
      <c r="E42" s="11" t="s">
        <v>57</v>
      </c>
      <c r="F42" s="2">
        <v>7</v>
      </c>
      <c r="G42" s="17">
        <v>1.119</v>
      </c>
      <c r="H42" s="17">
        <v>0</v>
      </c>
      <c r="I42" s="18">
        <v>0</v>
      </c>
      <c r="J42" s="18">
        <v>-0.29899999999999999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42.54</v>
      </c>
      <c r="AE42" s="2">
        <v>55.32</v>
      </c>
      <c r="AF42" s="2">
        <v>0</v>
      </c>
      <c r="AG42" s="2">
        <v>0</v>
      </c>
      <c r="AH42" s="2">
        <v>0</v>
      </c>
      <c r="AI42" s="2">
        <v>0</v>
      </c>
      <c r="AJ42" s="5">
        <v>2.14</v>
      </c>
      <c r="AK42" s="2">
        <v>0</v>
      </c>
      <c r="AL42" s="2">
        <v>0</v>
      </c>
      <c r="AM42" s="1">
        <f t="shared" si="10"/>
        <v>0</v>
      </c>
      <c r="AN42" s="1">
        <f>(S42+T42)</f>
        <v>0</v>
      </c>
      <c r="AO42" s="1">
        <f t="shared" si="12"/>
        <v>0</v>
      </c>
      <c r="AP42" s="1">
        <f t="shared" si="19"/>
        <v>0</v>
      </c>
      <c r="AQ42" s="1">
        <f t="shared" si="18"/>
        <v>0</v>
      </c>
      <c r="AR42" s="2">
        <v>0</v>
      </c>
      <c r="AS42" s="2">
        <v>0</v>
      </c>
      <c r="AT42" s="2">
        <v>0</v>
      </c>
      <c r="AU42" s="2">
        <v>0</v>
      </c>
      <c r="AV42" s="1">
        <f t="shared" ref="AV42:AV65" si="20">(AR42*AQ42)/100</f>
        <v>0</v>
      </c>
      <c r="AW42" s="1">
        <f t="shared" si="15"/>
        <v>0</v>
      </c>
      <c r="AX42" s="1">
        <f t="shared" si="16"/>
        <v>0</v>
      </c>
      <c r="AY42" s="1">
        <f t="shared" si="17"/>
        <v>0</v>
      </c>
      <c r="AZ42" s="1">
        <f t="shared" si="0"/>
        <v>-0.31038062283737022</v>
      </c>
    </row>
    <row r="43" spans="1:52" x14ac:dyDescent="0.2">
      <c r="A43" s="1">
        <v>42</v>
      </c>
      <c r="B43" s="2" t="s">
        <v>42</v>
      </c>
      <c r="C43" s="2" t="s">
        <v>43</v>
      </c>
      <c r="D43" s="2">
        <v>2025</v>
      </c>
      <c r="E43" s="11" t="s">
        <v>57</v>
      </c>
      <c r="F43" s="2">
        <v>8</v>
      </c>
      <c r="G43" s="17">
        <v>1.1180000000000001</v>
      </c>
      <c r="H43" s="17">
        <v>0</v>
      </c>
      <c r="I43" s="18">
        <v>0</v>
      </c>
      <c r="J43" s="18">
        <v>-0.23399999999999999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22.27</v>
      </c>
      <c r="AE43" s="2">
        <v>54.2</v>
      </c>
      <c r="AF43" s="2">
        <v>0</v>
      </c>
      <c r="AG43" s="2">
        <v>0</v>
      </c>
      <c r="AH43" s="2">
        <v>0</v>
      </c>
      <c r="AI43" s="2">
        <v>0</v>
      </c>
      <c r="AJ43" s="2">
        <v>23.52</v>
      </c>
      <c r="AK43" s="2">
        <v>0</v>
      </c>
      <c r="AL43" s="2">
        <v>0</v>
      </c>
      <c r="AM43" s="1">
        <f t="shared" si="10"/>
        <v>0</v>
      </c>
      <c r="AN43" s="1">
        <f t="shared" ref="AN43:AN49" si="21">(S43+T43)</f>
        <v>0</v>
      </c>
      <c r="AO43" s="1">
        <f t="shared" si="12"/>
        <v>0</v>
      </c>
      <c r="AP43" s="1">
        <f t="shared" si="19"/>
        <v>0</v>
      </c>
      <c r="AQ43" s="1">
        <f t="shared" si="18"/>
        <v>0</v>
      </c>
      <c r="AR43" s="2">
        <v>0</v>
      </c>
      <c r="AS43" s="2">
        <v>0</v>
      </c>
      <c r="AT43" s="2">
        <v>0</v>
      </c>
      <c r="AU43" s="2">
        <v>0</v>
      </c>
      <c r="AV43" s="1">
        <f t="shared" si="20"/>
        <v>0</v>
      </c>
      <c r="AW43" s="1">
        <f t="shared" si="15"/>
        <v>0</v>
      </c>
      <c r="AX43" s="1">
        <f t="shared" si="16"/>
        <v>0</v>
      </c>
      <c r="AY43" s="1">
        <f t="shared" si="17"/>
        <v>0</v>
      </c>
      <c r="AZ43" s="1">
        <f t="shared" si="0"/>
        <v>-0.24290657439446364</v>
      </c>
    </row>
    <row r="44" spans="1:52" x14ac:dyDescent="0.2">
      <c r="A44" s="1">
        <v>43</v>
      </c>
      <c r="B44" s="2" t="s">
        <v>42</v>
      </c>
      <c r="C44" s="2" t="s">
        <v>43</v>
      </c>
      <c r="D44" s="2">
        <v>2025</v>
      </c>
      <c r="E44" s="11" t="s">
        <v>57</v>
      </c>
      <c r="F44" s="2">
        <v>9</v>
      </c>
      <c r="G44" s="17">
        <v>1.173</v>
      </c>
      <c r="H44" s="17">
        <v>0</v>
      </c>
      <c r="I44" s="18">
        <v>0</v>
      </c>
      <c r="J44" s="18">
        <v>-0.311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46.46</v>
      </c>
      <c r="AE44" s="2">
        <v>50.64</v>
      </c>
      <c r="AF44" s="2">
        <v>0</v>
      </c>
      <c r="AG44" s="2">
        <v>0</v>
      </c>
      <c r="AH44" s="2">
        <v>0</v>
      </c>
      <c r="AI44" s="2">
        <v>0</v>
      </c>
      <c r="AJ44" s="8">
        <v>2.9</v>
      </c>
      <c r="AK44" s="2">
        <v>0</v>
      </c>
      <c r="AL44" s="2">
        <v>0</v>
      </c>
      <c r="AM44" s="1">
        <f t="shared" si="10"/>
        <v>0</v>
      </c>
      <c r="AN44" s="1">
        <f t="shared" si="21"/>
        <v>0</v>
      </c>
      <c r="AO44" s="1">
        <f t="shared" si="12"/>
        <v>0</v>
      </c>
      <c r="AP44" s="1">
        <f t="shared" si="19"/>
        <v>0</v>
      </c>
      <c r="AQ44" s="1">
        <f t="shared" si="18"/>
        <v>0</v>
      </c>
      <c r="AR44" s="2">
        <v>0</v>
      </c>
      <c r="AS44" s="2">
        <v>0</v>
      </c>
      <c r="AT44" s="2">
        <v>0</v>
      </c>
      <c r="AU44" s="2">
        <v>0</v>
      </c>
      <c r="AV44" s="1">
        <f t="shared" si="20"/>
        <v>0</v>
      </c>
      <c r="AW44" s="1">
        <f>(AS44*AQ44)/100</f>
        <v>0</v>
      </c>
      <c r="AX44" s="1">
        <f t="shared" si="16"/>
        <v>0</v>
      </c>
      <c r="AY44" s="1">
        <f t="shared" si="17"/>
        <v>0</v>
      </c>
      <c r="AZ44" s="1">
        <f t="shared" si="0"/>
        <v>-0.32283737024221454</v>
      </c>
    </row>
    <row r="45" spans="1:52" x14ac:dyDescent="0.2">
      <c r="A45" s="1">
        <v>44</v>
      </c>
      <c r="B45" s="2" t="s">
        <v>42</v>
      </c>
      <c r="C45" s="2" t="s">
        <v>43</v>
      </c>
      <c r="D45" s="2">
        <v>2025</v>
      </c>
      <c r="E45" s="11" t="s">
        <v>57</v>
      </c>
      <c r="F45" s="2">
        <v>10</v>
      </c>
      <c r="G45" s="17">
        <v>1.224</v>
      </c>
      <c r="H45" s="17">
        <v>0</v>
      </c>
      <c r="I45" s="18">
        <v>1.2E-2</v>
      </c>
      <c r="J45" s="18">
        <v>-0.309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2">
        <v>0</v>
      </c>
      <c r="Y45" s="2">
        <v>2.4500000000000002</v>
      </c>
      <c r="Z45" s="2">
        <v>0</v>
      </c>
      <c r="AA45" s="2">
        <v>0</v>
      </c>
      <c r="AB45" s="2">
        <v>0</v>
      </c>
      <c r="AC45" s="2">
        <v>0</v>
      </c>
      <c r="AD45" s="2">
        <v>48.77</v>
      </c>
      <c r="AE45" s="8">
        <v>49.1</v>
      </c>
      <c r="AF45" s="2">
        <v>0</v>
      </c>
      <c r="AG45" s="2">
        <v>0</v>
      </c>
      <c r="AH45" s="2">
        <v>0</v>
      </c>
      <c r="AI45" s="2">
        <v>0</v>
      </c>
      <c r="AJ45" s="8">
        <v>2.12</v>
      </c>
      <c r="AK45" s="2">
        <v>0</v>
      </c>
      <c r="AL45" s="2">
        <v>0</v>
      </c>
      <c r="AM45" s="1">
        <f>(Q45+R45)</f>
        <v>0</v>
      </c>
      <c r="AN45" s="1">
        <f t="shared" si="21"/>
        <v>0</v>
      </c>
      <c r="AO45" s="1">
        <f t="shared" si="12"/>
        <v>0</v>
      </c>
      <c r="AP45" s="1">
        <f t="shared" si="19"/>
        <v>0</v>
      </c>
      <c r="AQ45" s="1">
        <f t="shared" si="18"/>
        <v>0</v>
      </c>
      <c r="AR45" s="2">
        <v>0</v>
      </c>
      <c r="AS45" s="2">
        <v>0</v>
      </c>
      <c r="AT45" s="2">
        <v>0</v>
      </c>
      <c r="AU45" s="2">
        <v>0</v>
      </c>
      <c r="AV45" s="1">
        <f t="shared" si="20"/>
        <v>0</v>
      </c>
      <c r="AW45" s="1">
        <f t="shared" ref="AW45:AW65" si="22">(AS45*AQ45)/100</f>
        <v>0</v>
      </c>
      <c r="AX45" s="1">
        <f t="shared" si="16"/>
        <v>0</v>
      </c>
      <c r="AY45" s="1">
        <f t="shared" si="17"/>
        <v>0</v>
      </c>
      <c r="AZ45" s="1">
        <f t="shared" si="0"/>
        <v>-0.32076124567474051</v>
      </c>
    </row>
    <row r="46" spans="1:52" x14ac:dyDescent="0.2">
      <c r="A46" s="1">
        <v>45</v>
      </c>
      <c r="B46" s="2" t="s">
        <v>42</v>
      </c>
      <c r="C46" s="2" t="s">
        <v>43</v>
      </c>
      <c r="D46" s="2">
        <v>2025</v>
      </c>
      <c r="E46" s="11" t="s">
        <v>57</v>
      </c>
      <c r="F46" s="2">
        <v>1</v>
      </c>
      <c r="G46" s="17">
        <v>1.05</v>
      </c>
      <c r="H46" s="17">
        <v>1.141</v>
      </c>
      <c r="I46" s="18">
        <v>1.141</v>
      </c>
      <c r="J46" s="18">
        <v>0.21599999999999997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">
        <v>6.85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5">
        <v>6.85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4.76</v>
      </c>
      <c r="AE46" s="2">
        <v>52.04</v>
      </c>
      <c r="AF46" s="2">
        <v>0</v>
      </c>
      <c r="AG46" s="2">
        <v>0</v>
      </c>
      <c r="AH46" s="2">
        <v>0</v>
      </c>
      <c r="AI46" s="2">
        <v>0</v>
      </c>
      <c r="AJ46" s="2">
        <v>21.07</v>
      </c>
      <c r="AK46" s="2">
        <v>0</v>
      </c>
      <c r="AL46" s="2">
        <v>1</v>
      </c>
      <c r="AM46" s="1">
        <f t="shared" ref="AM46:AM65" si="23">(Q46+R46)</f>
        <v>6.85</v>
      </c>
      <c r="AN46" s="1">
        <f t="shared" si="21"/>
        <v>0</v>
      </c>
      <c r="AO46" s="1">
        <f t="shared" si="12"/>
        <v>0</v>
      </c>
      <c r="AP46" s="1">
        <f t="shared" si="19"/>
        <v>0</v>
      </c>
      <c r="AQ46" s="1">
        <f t="shared" si="18"/>
        <v>6.85</v>
      </c>
      <c r="AR46" s="2">
        <v>0</v>
      </c>
      <c r="AS46" s="2">
        <v>0</v>
      </c>
      <c r="AT46" s="2">
        <v>0</v>
      </c>
      <c r="AU46" s="2">
        <v>100</v>
      </c>
      <c r="AV46" s="1">
        <f t="shared" si="20"/>
        <v>0</v>
      </c>
      <c r="AW46" s="1">
        <f t="shared" si="22"/>
        <v>0</v>
      </c>
      <c r="AX46" s="1">
        <f t="shared" si="16"/>
        <v>0</v>
      </c>
      <c r="AY46" s="1">
        <f t="shared" si="17"/>
        <v>6.85</v>
      </c>
      <c r="AZ46" s="1">
        <f t="shared" si="0"/>
        <v>0.2242214532871972</v>
      </c>
    </row>
    <row r="47" spans="1:52" x14ac:dyDescent="0.2">
      <c r="A47" s="1">
        <v>46</v>
      </c>
      <c r="B47" s="2" t="s">
        <v>42</v>
      </c>
      <c r="C47" s="2" t="s">
        <v>43</v>
      </c>
      <c r="D47" s="2">
        <v>2025</v>
      </c>
      <c r="E47" s="11" t="s">
        <v>57</v>
      </c>
      <c r="F47" s="2">
        <v>2</v>
      </c>
      <c r="G47" s="17">
        <v>1.47</v>
      </c>
      <c r="H47" s="17">
        <v>6.89</v>
      </c>
      <c r="I47" s="18">
        <v>6.93</v>
      </c>
      <c r="J47" s="18">
        <v>5.8699999999999992</v>
      </c>
      <c r="K47" s="10">
        <v>0</v>
      </c>
      <c r="L47" s="10">
        <v>0</v>
      </c>
      <c r="M47" s="10">
        <v>0</v>
      </c>
      <c r="N47" s="10">
        <v>0</v>
      </c>
      <c r="O47" s="1">
        <v>2.37</v>
      </c>
      <c r="P47" s="1">
        <v>0</v>
      </c>
      <c r="Q47" s="1">
        <v>24.56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2">
        <v>26.93</v>
      </c>
      <c r="Y47" s="2">
        <v>6.72</v>
      </c>
      <c r="Z47" s="2">
        <v>0</v>
      </c>
      <c r="AA47" s="2">
        <v>0</v>
      </c>
      <c r="AB47" s="2">
        <v>0</v>
      </c>
      <c r="AC47" s="2">
        <v>0</v>
      </c>
      <c r="AD47" s="2">
        <v>16.62</v>
      </c>
      <c r="AE47" s="8">
        <v>43.11</v>
      </c>
      <c r="AF47" s="2">
        <v>0</v>
      </c>
      <c r="AG47" s="2">
        <v>0</v>
      </c>
      <c r="AH47" s="2">
        <v>0</v>
      </c>
      <c r="AI47" s="2">
        <v>0</v>
      </c>
      <c r="AJ47" s="2">
        <v>15.54</v>
      </c>
      <c r="AK47" s="2">
        <v>0</v>
      </c>
      <c r="AL47" s="2">
        <v>2</v>
      </c>
      <c r="AM47" s="1">
        <f t="shared" si="23"/>
        <v>24.56</v>
      </c>
      <c r="AN47" s="1">
        <f t="shared" si="21"/>
        <v>0</v>
      </c>
      <c r="AO47" s="1">
        <f t="shared" si="12"/>
        <v>2.37</v>
      </c>
      <c r="AP47" s="1">
        <f t="shared" si="19"/>
        <v>0</v>
      </c>
      <c r="AQ47" s="1">
        <f t="shared" si="18"/>
        <v>26.93</v>
      </c>
      <c r="AR47" s="2">
        <v>8.82</v>
      </c>
      <c r="AS47" s="2">
        <v>0</v>
      </c>
      <c r="AT47" s="2">
        <v>0</v>
      </c>
      <c r="AU47" s="2">
        <v>91.18</v>
      </c>
      <c r="AV47" s="1">
        <f t="shared" si="20"/>
        <v>2.3752260000000001</v>
      </c>
      <c r="AW47" s="1">
        <f t="shared" si="22"/>
        <v>0</v>
      </c>
      <c r="AX47" s="1">
        <f t="shared" si="16"/>
        <v>0</v>
      </c>
      <c r="AY47" s="1">
        <f t="shared" si="17"/>
        <v>24.554774000000002</v>
      </c>
      <c r="AZ47" s="1">
        <f t="shared" si="0"/>
        <v>6.0934256055363321</v>
      </c>
    </row>
    <row r="48" spans="1:52" x14ac:dyDescent="0.2">
      <c r="A48" s="1">
        <v>47</v>
      </c>
      <c r="B48" s="2" t="s">
        <v>42</v>
      </c>
      <c r="C48" s="2" t="s">
        <v>43</v>
      </c>
      <c r="D48" s="2">
        <v>2025</v>
      </c>
      <c r="E48" s="11" t="s">
        <v>57</v>
      </c>
      <c r="F48" s="2">
        <v>3</v>
      </c>
      <c r="G48" s="17">
        <v>1.1200000000000001</v>
      </c>
      <c r="H48" s="17">
        <v>3.0990000000000002</v>
      </c>
      <c r="I48" s="18">
        <v>3.1230000000000002</v>
      </c>
      <c r="J48" s="18">
        <v>2.2330000000000001</v>
      </c>
      <c r="K48" s="10">
        <v>0</v>
      </c>
      <c r="L48" s="10">
        <v>0</v>
      </c>
      <c r="M48" s="10">
        <v>0</v>
      </c>
      <c r="N48" s="10">
        <v>0</v>
      </c>
      <c r="O48" s="1">
        <v>1.96</v>
      </c>
      <c r="P48" s="1">
        <v>0</v>
      </c>
      <c r="Q48" s="1">
        <v>14.88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2">
        <v>16.84</v>
      </c>
      <c r="Y48" s="2">
        <v>5.35</v>
      </c>
      <c r="Z48" s="2">
        <v>0</v>
      </c>
      <c r="AA48" s="2">
        <v>0</v>
      </c>
      <c r="AB48" s="2">
        <v>0</v>
      </c>
      <c r="AC48" s="2">
        <v>0</v>
      </c>
      <c r="AD48" s="2">
        <v>5.35</v>
      </c>
      <c r="AE48" s="8">
        <v>54.15</v>
      </c>
      <c r="AF48" s="2">
        <v>0</v>
      </c>
      <c r="AG48" s="2">
        <v>0</v>
      </c>
      <c r="AH48" s="2">
        <v>0</v>
      </c>
      <c r="AI48" s="2">
        <v>0</v>
      </c>
      <c r="AJ48" s="8">
        <v>35.83</v>
      </c>
      <c r="AK48" s="2">
        <v>0</v>
      </c>
      <c r="AL48" s="2">
        <v>2</v>
      </c>
      <c r="AM48" s="1">
        <f t="shared" si="23"/>
        <v>14.88</v>
      </c>
      <c r="AN48" s="1">
        <f t="shared" si="21"/>
        <v>0</v>
      </c>
      <c r="AO48" s="1">
        <f>(K48+N48+O48+P48)</f>
        <v>1.96</v>
      </c>
      <c r="AP48" s="1">
        <f t="shared" si="19"/>
        <v>0</v>
      </c>
      <c r="AQ48" s="1">
        <f t="shared" si="18"/>
        <v>16.84</v>
      </c>
      <c r="AR48" s="2">
        <v>11.64</v>
      </c>
      <c r="AS48" s="2">
        <v>0</v>
      </c>
      <c r="AT48" s="2">
        <v>0</v>
      </c>
      <c r="AU48" s="2">
        <v>88.36</v>
      </c>
      <c r="AV48" s="1">
        <f t="shared" si="20"/>
        <v>1.9601760000000001</v>
      </c>
      <c r="AW48" s="1">
        <f t="shared" si="22"/>
        <v>0</v>
      </c>
      <c r="AX48" s="1">
        <f t="shared" si="16"/>
        <v>0</v>
      </c>
      <c r="AY48" s="1">
        <f t="shared" si="17"/>
        <v>14.879823999999999</v>
      </c>
      <c r="AZ48" s="1">
        <f t="shared" si="0"/>
        <v>2.3179930795847747</v>
      </c>
    </row>
    <row r="49" spans="1:52" x14ac:dyDescent="0.2">
      <c r="A49" s="1">
        <v>48</v>
      </c>
      <c r="B49" s="2" t="s">
        <v>42</v>
      </c>
      <c r="C49" s="2" t="s">
        <v>43</v>
      </c>
      <c r="D49" s="2">
        <v>2025</v>
      </c>
      <c r="E49" s="11" t="s">
        <v>57</v>
      </c>
      <c r="F49" s="2">
        <v>4</v>
      </c>
      <c r="G49" s="17">
        <v>1.07</v>
      </c>
      <c r="H49" s="17">
        <v>6.0339999999999998</v>
      </c>
      <c r="I49" s="18">
        <v>6.0339999999999998</v>
      </c>
      <c r="J49" s="18">
        <v>5.09</v>
      </c>
      <c r="K49" s="10">
        <v>0</v>
      </c>
      <c r="L49" s="10">
        <v>0</v>
      </c>
      <c r="M49" s="10">
        <v>0</v>
      </c>
      <c r="N49" s="10">
        <v>0</v>
      </c>
      <c r="O49" s="1">
        <v>9.85</v>
      </c>
      <c r="P49" s="1">
        <v>0</v>
      </c>
      <c r="Q49" s="1">
        <v>24.86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2">
        <v>34.71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18.29</v>
      </c>
      <c r="AE49" s="8">
        <v>46.31</v>
      </c>
      <c r="AF49" s="2">
        <v>0</v>
      </c>
      <c r="AG49" s="2">
        <v>0</v>
      </c>
      <c r="AH49" s="2">
        <v>0</v>
      </c>
      <c r="AI49" s="2">
        <v>0</v>
      </c>
      <c r="AJ49" s="2">
        <v>21.69</v>
      </c>
      <c r="AK49" s="2">
        <v>0</v>
      </c>
      <c r="AL49" s="2">
        <v>2</v>
      </c>
      <c r="AM49" s="1">
        <f t="shared" si="23"/>
        <v>24.86</v>
      </c>
      <c r="AN49" s="1">
        <f t="shared" si="21"/>
        <v>0</v>
      </c>
      <c r="AO49" s="1">
        <f t="shared" ref="AO49:AO65" si="24">(K49+N49+O49+P49)</f>
        <v>9.85</v>
      </c>
      <c r="AP49" s="1">
        <f t="shared" si="19"/>
        <v>0</v>
      </c>
      <c r="AQ49" s="1">
        <f t="shared" si="18"/>
        <v>34.71</v>
      </c>
      <c r="AR49" s="2">
        <v>28.38</v>
      </c>
      <c r="AS49" s="2">
        <v>0</v>
      </c>
      <c r="AT49" s="2">
        <v>0</v>
      </c>
      <c r="AU49" s="2">
        <v>71.62</v>
      </c>
      <c r="AV49" s="1">
        <f t="shared" si="20"/>
        <v>9.8506979999999995</v>
      </c>
      <c r="AW49" s="1">
        <f t="shared" si="22"/>
        <v>0</v>
      </c>
      <c r="AX49" s="1">
        <f t="shared" si="16"/>
        <v>0</v>
      </c>
      <c r="AY49" s="1">
        <f t="shared" si="17"/>
        <v>24.859302000000003</v>
      </c>
      <c r="AZ49" s="1">
        <f t="shared" si="0"/>
        <v>5.2837370242214527</v>
      </c>
    </row>
    <row r="50" spans="1:52" x14ac:dyDescent="0.2">
      <c r="A50" s="1">
        <v>49</v>
      </c>
      <c r="B50" s="2" t="s">
        <v>42</v>
      </c>
      <c r="C50" s="2" t="s">
        <v>43</v>
      </c>
      <c r="D50" s="2">
        <v>2025</v>
      </c>
      <c r="E50" s="11" t="s">
        <v>57</v>
      </c>
      <c r="F50" s="2">
        <v>5</v>
      </c>
      <c r="G50" s="17">
        <v>1.27</v>
      </c>
      <c r="H50" s="17">
        <v>8.8819999999999997</v>
      </c>
      <c r="I50" s="18">
        <v>8.8819999999999997</v>
      </c>
      <c r="J50" s="18">
        <v>7.9259999999999993</v>
      </c>
      <c r="K50" s="10">
        <v>0</v>
      </c>
      <c r="L50" s="10">
        <v>0</v>
      </c>
      <c r="M50" s="10">
        <v>0</v>
      </c>
      <c r="N50" s="10">
        <v>0</v>
      </c>
      <c r="O50" s="1">
        <v>15.42</v>
      </c>
      <c r="P50" s="1">
        <v>0</v>
      </c>
      <c r="Q50" s="1">
        <v>25.89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2">
        <v>41.31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10.86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5">
        <v>0.75</v>
      </c>
      <c r="AK50" s="2">
        <v>0</v>
      </c>
      <c r="AL50" s="2">
        <v>2</v>
      </c>
      <c r="AM50" s="1">
        <f t="shared" si="23"/>
        <v>25.89</v>
      </c>
      <c r="AN50" s="1">
        <f>(S50+T50)</f>
        <v>0</v>
      </c>
      <c r="AO50" s="1">
        <f t="shared" si="24"/>
        <v>15.42</v>
      </c>
      <c r="AP50" s="1">
        <f t="shared" si="19"/>
        <v>0</v>
      </c>
      <c r="AQ50" s="1">
        <f t="shared" si="18"/>
        <v>41.31</v>
      </c>
      <c r="AR50" s="2">
        <v>37.33</v>
      </c>
      <c r="AS50" s="2">
        <v>0</v>
      </c>
      <c r="AT50" s="2">
        <v>0</v>
      </c>
      <c r="AU50" s="2">
        <v>62.67</v>
      </c>
      <c r="AV50" s="1">
        <f t="shared" si="20"/>
        <v>15.421023</v>
      </c>
      <c r="AW50" s="1">
        <f t="shared" si="22"/>
        <v>0</v>
      </c>
      <c r="AX50" s="1">
        <f t="shared" si="16"/>
        <v>0</v>
      </c>
      <c r="AY50" s="1">
        <f t="shared" si="17"/>
        <v>25.888977000000001</v>
      </c>
      <c r="AZ50" s="1">
        <f t="shared" si="0"/>
        <v>8.2276816608996537</v>
      </c>
    </row>
    <row r="51" spans="1:52" x14ac:dyDescent="0.2">
      <c r="A51" s="1">
        <v>50</v>
      </c>
      <c r="B51" s="2" t="s">
        <v>42</v>
      </c>
      <c r="C51" s="2" t="s">
        <v>43</v>
      </c>
      <c r="D51" s="2">
        <v>2025</v>
      </c>
      <c r="E51" s="11" t="s">
        <v>57</v>
      </c>
      <c r="F51" s="2">
        <v>6</v>
      </c>
      <c r="G51" s="19">
        <v>1.2</v>
      </c>
      <c r="H51" s="17">
        <v>6.4770000000000003</v>
      </c>
      <c r="I51" s="18">
        <v>6.4770000000000003</v>
      </c>
      <c r="J51" s="18">
        <v>5.5650000000000004</v>
      </c>
      <c r="K51" s="10">
        <v>0</v>
      </c>
      <c r="L51" s="10">
        <v>0</v>
      </c>
      <c r="M51" s="10">
        <v>0</v>
      </c>
      <c r="N51" s="10">
        <v>0</v>
      </c>
      <c r="O51" s="1">
        <v>20.57</v>
      </c>
      <c r="P51" s="1">
        <v>0</v>
      </c>
      <c r="Q51" s="1">
        <v>13.29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2">
        <v>33.86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51.95</v>
      </c>
      <c r="AF51" s="2">
        <v>0</v>
      </c>
      <c r="AG51" s="2">
        <v>0</v>
      </c>
      <c r="AH51" s="2">
        <v>0</v>
      </c>
      <c r="AI51" s="2">
        <v>0</v>
      </c>
      <c r="AJ51" s="5">
        <v>1.64</v>
      </c>
      <c r="AK51" s="2">
        <v>0</v>
      </c>
      <c r="AL51" s="2">
        <v>2</v>
      </c>
      <c r="AM51" s="1">
        <f t="shared" si="23"/>
        <v>13.29</v>
      </c>
      <c r="AN51" s="1">
        <f t="shared" ref="AN51:AN65" si="25">(S51+T51)</f>
        <v>0</v>
      </c>
      <c r="AO51" s="1">
        <f t="shared" si="24"/>
        <v>20.57</v>
      </c>
      <c r="AP51" s="1">
        <f t="shared" si="19"/>
        <v>0</v>
      </c>
      <c r="AQ51" s="1">
        <f t="shared" si="18"/>
        <v>33.86</v>
      </c>
      <c r="AR51" s="2">
        <v>60.74</v>
      </c>
      <c r="AS51" s="2">
        <v>0</v>
      </c>
      <c r="AT51" s="2">
        <v>0</v>
      </c>
      <c r="AU51" s="2">
        <v>39.26</v>
      </c>
      <c r="AV51" s="1">
        <f t="shared" si="20"/>
        <v>20.566564</v>
      </c>
      <c r="AW51" s="1">
        <f t="shared" si="22"/>
        <v>0</v>
      </c>
      <c r="AX51" s="1">
        <f t="shared" si="16"/>
        <v>0</v>
      </c>
      <c r="AY51" s="1">
        <f t="shared" si="17"/>
        <v>13.293436</v>
      </c>
      <c r="AZ51" s="1">
        <f t="shared" si="0"/>
        <v>5.7768166089965396</v>
      </c>
    </row>
    <row r="52" spans="1:52" x14ac:dyDescent="0.2">
      <c r="A52" s="1">
        <v>51</v>
      </c>
      <c r="B52" s="2" t="s">
        <v>42</v>
      </c>
      <c r="C52" s="2" t="s">
        <v>43</v>
      </c>
      <c r="D52" s="2">
        <v>2025</v>
      </c>
      <c r="E52" s="11" t="s">
        <v>57</v>
      </c>
      <c r="F52" s="2">
        <v>7</v>
      </c>
      <c r="G52" s="19">
        <v>1.3</v>
      </c>
      <c r="H52" s="17">
        <v>1.466</v>
      </c>
      <c r="I52" s="18">
        <v>1.466</v>
      </c>
      <c r="J52" s="18">
        <v>0.48399999999999999</v>
      </c>
      <c r="K52" s="10">
        <v>0</v>
      </c>
      <c r="L52" s="10">
        <v>0</v>
      </c>
      <c r="M52" s="10">
        <v>0</v>
      </c>
      <c r="N52" s="10">
        <v>0</v>
      </c>
      <c r="O52" s="1">
        <v>0</v>
      </c>
      <c r="P52" s="1">
        <v>0</v>
      </c>
      <c r="Q52" s="1">
        <v>7.25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5">
        <v>7.25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2.16</v>
      </c>
      <c r="AE52" s="2">
        <v>55.32</v>
      </c>
      <c r="AF52" s="2">
        <v>0</v>
      </c>
      <c r="AG52" s="2">
        <v>0</v>
      </c>
      <c r="AH52" s="2">
        <v>0</v>
      </c>
      <c r="AI52" s="2">
        <v>0</v>
      </c>
      <c r="AJ52" s="5">
        <v>2.14</v>
      </c>
      <c r="AK52" s="2">
        <v>0</v>
      </c>
      <c r="AL52" s="2">
        <v>1</v>
      </c>
      <c r="AM52" s="1">
        <f t="shared" si="23"/>
        <v>7.25</v>
      </c>
      <c r="AN52" s="1">
        <f t="shared" si="25"/>
        <v>0</v>
      </c>
      <c r="AO52" s="1">
        <f t="shared" si="24"/>
        <v>0</v>
      </c>
      <c r="AP52" s="1">
        <f t="shared" si="19"/>
        <v>0</v>
      </c>
      <c r="AQ52" s="1">
        <f t="shared" si="18"/>
        <v>7.25</v>
      </c>
      <c r="AR52" s="2">
        <v>0</v>
      </c>
      <c r="AS52" s="2">
        <v>0</v>
      </c>
      <c r="AT52" s="2">
        <v>0</v>
      </c>
      <c r="AU52" s="2">
        <v>100</v>
      </c>
      <c r="AV52" s="1">
        <f t="shared" si="20"/>
        <v>0</v>
      </c>
      <c r="AW52" s="1">
        <f t="shared" si="22"/>
        <v>0</v>
      </c>
      <c r="AX52" s="1">
        <f t="shared" si="16"/>
        <v>0</v>
      </c>
      <c r="AY52" s="1">
        <f t="shared" si="17"/>
        <v>7.25</v>
      </c>
      <c r="AZ52" s="1">
        <f t="shared" si="0"/>
        <v>0.50242214532871965</v>
      </c>
    </row>
    <row r="53" spans="1:52" x14ac:dyDescent="0.2">
      <c r="A53" s="1">
        <v>52</v>
      </c>
      <c r="B53" s="2" t="s">
        <v>42</v>
      </c>
      <c r="C53" s="2" t="s">
        <v>43</v>
      </c>
      <c r="D53" s="2">
        <v>2025</v>
      </c>
      <c r="E53" s="11" t="s">
        <v>57</v>
      </c>
      <c r="F53" s="2">
        <v>8</v>
      </c>
      <c r="G53" s="19">
        <v>1.1000000000000001</v>
      </c>
      <c r="H53" s="17">
        <v>0.876</v>
      </c>
      <c r="I53" s="18">
        <v>0.876</v>
      </c>
      <c r="J53" s="18">
        <v>-1.6000000000000014E-2</v>
      </c>
      <c r="K53" s="10">
        <v>0</v>
      </c>
      <c r="L53" s="10">
        <v>0</v>
      </c>
      <c r="M53" s="10">
        <v>0</v>
      </c>
      <c r="N53" s="10">
        <v>0</v>
      </c>
      <c r="O53" s="1">
        <v>0</v>
      </c>
      <c r="P53" s="1">
        <v>0</v>
      </c>
      <c r="Q53" s="1">
        <v>4.91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5">
        <v>4.91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54.2</v>
      </c>
      <c r="AF53" s="2">
        <v>0</v>
      </c>
      <c r="AG53" s="2">
        <v>0</v>
      </c>
      <c r="AH53" s="2">
        <v>1.2</v>
      </c>
      <c r="AI53" s="2">
        <v>0</v>
      </c>
      <c r="AJ53" s="2">
        <v>23.52</v>
      </c>
      <c r="AK53" s="2">
        <v>0</v>
      </c>
      <c r="AL53" s="2">
        <v>1</v>
      </c>
      <c r="AM53" s="1">
        <f t="shared" si="23"/>
        <v>4.91</v>
      </c>
      <c r="AN53" s="1">
        <f t="shared" si="25"/>
        <v>0</v>
      </c>
      <c r="AO53" s="1">
        <f t="shared" si="24"/>
        <v>0</v>
      </c>
      <c r="AP53" s="1">
        <f t="shared" si="19"/>
        <v>0</v>
      </c>
      <c r="AQ53" s="1">
        <f t="shared" si="18"/>
        <v>4.91</v>
      </c>
      <c r="AR53" s="2">
        <v>0</v>
      </c>
      <c r="AS53" s="2">
        <v>0</v>
      </c>
      <c r="AT53" s="2">
        <v>0</v>
      </c>
      <c r="AU53" s="2">
        <v>100</v>
      </c>
      <c r="AV53" s="1">
        <f t="shared" si="20"/>
        <v>0</v>
      </c>
      <c r="AW53" s="1">
        <f t="shared" si="22"/>
        <v>0</v>
      </c>
      <c r="AX53" s="1">
        <f t="shared" si="16"/>
        <v>0</v>
      </c>
      <c r="AY53" s="1">
        <f t="shared" si="17"/>
        <v>4.91</v>
      </c>
      <c r="AZ53" s="1">
        <f t="shared" si="0"/>
        <v>-1.6608996539792403E-2</v>
      </c>
    </row>
    <row r="54" spans="1:52" x14ac:dyDescent="0.2">
      <c r="A54" s="1">
        <v>53</v>
      </c>
      <c r="B54" s="2" t="s">
        <v>42</v>
      </c>
      <c r="C54" s="2" t="s">
        <v>43</v>
      </c>
      <c r="D54" s="2">
        <v>2025</v>
      </c>
      <c r="E54" s="11" t="s">
        <v>57</v>
      </c>
      <c r="F54" s="2">
        <v>9</v>
      </c>
      <c r="G54" s="17">
        <v>1.1100000000000001</v>
      </c>
      <c r="H54" s="17">
        <v>2.4609999999999999</v>
      </c>
      <c r="I54" s="18">
        <v>2.4609999999999999</v>
      </c>
      <c r="J54" s="18">
        <v>1.6099999999999999</v>
      </c>
      <c r="K54" s="10">
        <v>0</v>
      </c>
      <c r="L54" s="10">
        <v>0</v>
      </c>
      <c r="M54" s="10">
        <v>0</v>
      </c>
      <c r="N54" s="10">
        <v>0</v>
      </c>
      <c r="O54" s="1">
        <v>0</v>
      </c>
      <c r="P54" s="1">
        <v>0</v>
      </c>
      <c r="Q54" s="1">
        <v>13.47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2">
        <v>13.47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50.64</v>
      </c>
      <c r="AF54" s="2">
        <v>0</v>
      </c>
      <c r="AG54" s="2">
        <v>0</v>
      </c>
      <c r="AH54" s="2">
        <v>0</v>
      </c>
      <c r="AI54" s="2">
        <v>0</v>
      </c>
      <c r="AJ54" s="8">
        <v>2.9</v>
      </c>
      <c r="AK54" s="2">
        <v>0</v>
      </c>
      <c r="AL54" s="2">
        <v>1</v>
      </c>
      <c r="AM54" s="1">
        <f t="shared" si="23"/>
        <v>13.47</v>
      </c>
      <c r="AN54" s="1">
        <f t="shared" si="25"/>
        <v>0</v>
      </c>
      <c r="AO54" s="1">
        <f t="shared" si="24"/>
        <v>0</v>
      </c>
      <c r="AP54" s="1">
        <f t="shared" si="19"/>
        <v>0</v>
      </c>
      <c r="AQ54" s="1">
        <f t="shared" si="18"/>
        <v>13.47</v>
      </c>
      <c r="AR54" s="2">
        <v>0</v>
      </c>
      <c r="AS54" s="2">
        <v>0</v>
      </c>
      <c r="AT54" s="2">
        <v>0</v>
      </c>
      <c r="AU54" s="2">
        <v>100</v>
      </c>
      <c r="AV54" s="1">
        <f t="shared" si="20"/>
        <v>0</v>
      </c>
      <c r="AW54" s="1">
        <f t="shared" si="22"/>
        <v>0</v>
      </c>
      <c r="AX54" s="1">
        <f t="shared" si="16"/>
        <v>0</v>
      </c>
      <c r="AY54" s="1">
        <f t="shared" si="17"/>
        <v>13.47</v>
      </c>
      <c r="AZ54" s="1">
        <f t="shared" si="0"/>
        <v>1.6712802768166088</v>
      </c>
    </row>
    <row r="55" spans="1:52" x14ac:dyDescent="0.2">
      <c r="A55" s="1">
        <v>54</v>
      </c>
      <c r="B55" s="2" t="s">
        <v>42</v>
      </c>
      <c r="C55" s="2" t="s">
        <v>43</v>
      </c>
      <c r="D55" s="2">
        <v>2025</v>
      </c>
      <c r="E55" s="11" t="s">
        <v>57</v>
      </c>
      <c r="F55" s="2">
        <v>10</v>
      </c>
      <c r="G55" s="19">
        <v>1.4</v>
      </c>
      <c r="H55" s="17">
        <v>4.7359999999999998</v>
      </c>
      <c r="I55" s="18">
        <v>4.7359999999999998</v>
      </c>
      <c r="J55" s="18">
        <v>3.7129999999999996</v>
      </c>
      <c r="K55" s="10">
        <v>0</v>
      </c>
      <c r="L55" s="10">
        <v>0</v>
      </c>
      <c r="M55" s="10">
        <v>0</v>
      </c>
      <c r="N55" s="10">
        <v>0</v>
      </c>
      <c r="O55" s="1">
        <v>0</v>
      </c>
      <c r="P55" s="1">
        <v>0</v>
      </c>
      <c r="Q55" s="1">
        <v>18.829999999999998</v>
      </c>
      <c r="R55" s="1">
        <v>0</v>
      </c>
      <c r="S55" s="1">
        <v>0</v>
      </c>
      <c r="T55" s="1">
        <v>1.43</v>
      </c>
      <c r="U55" s="10">
        <v>0</v>
      </c>
      <c r="V55" s="10">
        <v>0</v>
      </c>
      <c r="W55" s="10">
        <v>0</v>
      </c>
      <c r="X55" s="2">
        <v>20.260000000000002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1.57</v>
      </c>
      <c r="AE55" s="8">
        <v>49.1</v>
      </c>
      <c r="AF55" s="2">
        <v>0</v>
      </c>
      <c r="AG55" s="2">
        <v>0</v>
      </c>
      <c r="AH55" s="2">
        <v>0</v>
      </c>
      <c r="AI55" s="2">
        <v>0</v>
      </c>
      <c r="AJ55" s="8">
        <v>2.12</v>
      </c>
      <c r="AK55" s="2">
        <v>0</v>
      </c>
      <c r="AL55" s="2">
        <v>2</v>
      </c>
      <c r="AM55" s="1">
        <f t="shared" si="23"/>
        <v>18.829999999999998</v>
      </c>
      <c r="AN55" s="1">
        <f t="shared" si="25"/>
        <v>1.43</v>
      </c>
      <c r="AO55" s="1">
        <f t="shared" si="24"/>
        <v>0</v>
      </c>
      <c r="AP55" s="1">
        <f t="shared" si="19"/>
        <v>0</v>
      </c>
      <c r="AQ55" s="1">
        <f t="shared" si="18"/>
        <v>20.259999999999998</v>
      </c>
      <c r="AR55" s="2">
        <v>0</v>
      </c>
      <c r="AS55" s="2">
        <v>0</v>
      </c>
      <c r="AT55" s="2">
        <v>0</v>
      </c>
      <c r="AU55" s="2">
        <v>100</v>
      </c>
      <c r="AV55" s="1">
        <f t="shared" si="20"/>
        <v>0</v>
      </c>
      <c r="AW55" s="1">
        <f t="shared" si="22"/>
        <v>0</v>
      </c>
      <c r="AX55" s="1">
        <f t="shared" si="16"/>
        <v>0</v>
      </c>
      <c r="AY55" s="1">
        <f t="shared" si="17"/>
        <v>20.259999999999998</v>
      </c>
      <c r="AZ55" s="1">
        <f t="shared" si="0"/>
        <v>3.8543252595155706</v>
      </c>
    </row>
    <row r="56" spans="1:52" x14ac:dyDescent="0.2">
      <c r="A56" s="1">
        <v>55</v>
      </c>
      <c r="B56" s="2" t="s">
        <v>42</v>
      </c>
      <c r="C56" s="2" t="s">
        <v>43</v>
      </c>
      <c r="D56" s="2">
        <v>2025</v>
      </c>
      <c r="E56" s="16" t="s">
        <v>58</v>
      </c>
      <c r="F56" s="2">
        <v>1</v>
      </c>
      <c r="G56" s="18">
        <v>1.04</v>
      </c>
      <c r="H56" s="17">
        <v>5.8559999999999999</v>
      </c>
      <c r="I56" s="18">
        <v>5.9539999999999997</v>
      </c>
      <c r="J56" s="18">
        <v>5.9329999999999998</v>
      </c>
      <c r="K56" s="10">
        <v>34.33</v>
      </c>
      <c r="L56" s="10">
        <v>0</v>
      </c>
      <c r="M56" s="10">
        <v>0</v>
      </c>
      <c r="N56" s="10">
        <v>0</v>
      </c>
      <c r="O56" s="1">
        <v>0</v>
      </c>
      <c r="P56" s="1">
        <v>0</v>
      </c>
      <c r="Q56" s="1">
        <v>2.88</v>
      </c>
      <c r="R56" s="1">
        <v>0</v>
      </c>
      <c r="S56" s="1">
        <v>0</v>
      </c>
      <c r="T56" s="1">
        <v>0</v>
      </c>
      <c r="U56" s="10">
        <v>0</v>
      </c>
      <c r="V56" s="10">
        <v>0</v>
      </c>
      <c r="W56" s="10">
        <v>0</v>
      </c>
      <c r="X56" s="2">
        <v>37.21</v>
      </c>
      <c r="Y56" s="2">
        <v>23.37</v>
      </c>
      <c r="Z56" s="2">
        <v>0</v>
      </c>
      <c r="AA56" s="2">
        <v>0</v>
      </c>
      <c r="AB56" s="2">
        <v>0</v>
      </c>
      <c r="AC56" s="2">
        <v>0</v>
      </c>
      <c r="AD56" s="2">
        <v>19.52</v>
      </c>
      <c r="AE56" s="2">
        <v>0</v>
      </c>
      <c r="AF56" s="2">
        <v>0</v>
      </c>
      <c r="AG56" s="2">
        <v>0</v>
      </c>
      <c r="AH56" s="2">
        <v>2.4</v>
      </c>
      <c r="AI56" s="2">
        <v>0</v>
      </c>
      <c r="AJ56" s="2">
        <v>39.42</v>
      </c>
      <c r="AK56" s="2">
        <v>0</v>
      </c>
      <c r="AL56" s="2">
        <v>2</v>
      </c>
      <c r="AM56" s="1">
        <f t="shared" si="23"/>
        <v>2.88</v>
      </c>
      <c r="AN56" s="1">
        <f t="shared" si="25"/>
        <v>0</v>
      </c>
      <c r="AO56" s="1">
        <f t="shared" si="24"/>
        <v>34.33</v>
      </c>
      <c r="AP56" s="1">
        <f t="shared" si="19"/>
        <v>0</v>
      </c>
      <c r="AQ56" s="1">
        <f t="shared" si="18"/>
        <v>37.21</v>
      </c>
      <c r="AR56" s="2">
        <v>92.25</v>
      </c>
      <c r="AS56" s="2">
        <v>0</v>
      </c>
      <c r="AT56" s="2">
        <v>0</v>
      </c>
      <c r="AU56" s="2">
        <v>7.75</v>
      </c>
      <c r="AV56" s="1">
        <f t="shared" si="20"/>
        <v>34.326225000000001</v>
      </c>
      <c r="AW56" s="1">
        <f t="shared" si="22"/>
        <v>0</v>
      </c>
      <c r="AX56" s="1">
        <f t="shared" si="16"/>
        <v>0</v>
      </c>
      <c r="AY56" s="1">
        <f t="shared" si="17"/>
        <v>2.883775</v>
      </c>
      <c r="AZ56" s="1">
        <f t="shared" si="0"/>
        <v>6.1588235294117641</v>
      </c>
    </row>
    <row r="57" spans="1:52" x14ac:dyDescent="0.2">
      <c r="A57" s="1">
        <v>56</v>
      </c>
      <c r="B57" s="2" t="s">
        <v>42</v>
      </c>
      <c r="C57" s="2" t="s">
        <v>43</v>
      </c>
      <c r="D57" s="2">
        <v>2025</v>
      </c>
      <c r="E57" s="16" t="s">
        <v>58</v>
      </c>
      <c r="F57" s="2">
        <v>2</v>
      </c>
      <c r="G57" s="17">
        <v>1.0289999999999999</v>
      </c>
      <c r="H57" s="17">
        <v>4.516</v>
      </c>
      <c r="I57" s="18">
        <v>4.6820000000000004</v>
      </c>
      <c r="J57" s="18">
        <v>4.6100000000000003</v>
      </c>
      <c r="K57" s="10">
        <v>23.62</v>
      </c>
      <c r="L57" s="10">
        <v>23.62</v>
      </c>
      <c r="M57" s="10">
        <v>0</v>
      </c>
      <c r="N57" s="10">
        <v>0</v>
      </c>
      <c r="O57" s="1">
        <v>0</v>
      </c>
      <c r="P57" s="1">
        <v>0</v>
      </c>
      <c r="Q57" s="1">
        <v>5.54</v>
      </c>
      <c r="R57" s="1">
        <v>0</v>
      </c>
      <c r="S57" s="1">
        <v>0</v>
      </c>
      <c r="T57" s="1">
        <v>0</v>
      </c>
      <c r="U57" s="10">
        <v>0</v>
      </c>
      <c r="V57" s="10">
        <v>0</v>
      </c>
      <c r="W57" s="10">
        <v>-23.62</v>
      </c>
      <c r="X57" s="2">
        <v>29.15</v>
      </c>
      <c r="Y57" s="2">
        <v>39.94</v>
      </c>
      <c r="Z57" s="2">
        <v>0</v>
      </c>
      <c r="AA57" s="2">
        <v>0</v>
      </c>
      <c r="AB57" s="2">
        <v>0</v>
      </c>
      <c r="AC57" s="2">
        <v>0</v>
      </c>
      <c r="AD57" s="2">
        <v>52.77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18.079999999999998</v>
      </c>
      <c r="AK57" s="2">
        <v>0</v>
      </c>
      <c r="AL57" s="2">
        <v>2</v>
      </c>
      <c r="AM57" s="1">
        <f t="shared" si="23"/>
        <v>5.54</v>
      </c>
      <c r="AN57" s="1">
        <f t="shared" si="25"/>
        <v>0</v>
      </c>
      <c r="AO57" s="1">
        <f t="shared" si="24"/>
        <v>23.62</v>
      </c>
      <c r="AP57" s="1">
        <f t="shared" si="19"/>
        <v>0</v>
      </c>
      <c r="AQ57" s="1">
        <f t="shared" si="18"/>
        <v>29.16</v>
      </c>
      <c r="AR57" s="8">
        <v>81</v>
      </c>
      <c r="AS57" s="2">
        <v>0</v>
      </c>
      <c r="AT57" s="2">
        <v>0</v>
      </c>
      <c r="AU57" s="8">
        <v>19</v>
      </c>
      <c r="AV57" s="1">
        <f t="shared" si="20"/>
        <v>23.619600000000002</v>
      </c>
      <c r="AW57" s="1">
        <f t="shared" si="22"/>
        <v>0</v>
      </c>
      <c r="AX57" s="1">
        <f t="shared" si="16"/>
        <v>0</v>
      </c>
      <c r="AY57" s="1">
        <f>(AU57*AQ57)/100</f>
        <v>5.5404</v>
      </c>
      <c r="AZ57" s="1">
        <f t="shared" si="0"/>
        <v>4.7854671280276824</v>
      </c>
    </row>
    <row r="58" spans="1:52" x14ac:dyDescent="0.2">
      <c r="A58" s="1">
        <v>57</v>
      </c>
      <c r="B58" s="2" t="s">
        <v>42</v>
      </c>
      <c r="C58" s="2" t="s">
        <v>43</v>
      </c>
      <c r="D58" s="2">
        <v>2025</v>
      </c>
      <c r="E58" s="16" t="s">
        <v>58</v>
      </c>
      <c r="F58" s="2">
        <v>3</v>
      </c>
      <c r="G58" s="17">
        <v>1.0169999999999999</v>
      </c>
      <c r="H58" s="17">
        <v>8.5139999999999993</v>
      </c>
      <c r="I58" s="18">
        <v>8.6519999999999992</v>
      </c>
      <c r="J58" s="18">
        <v>8.613999999999999</v>
      </c>
      <c r="K58" s="10">
        <v>51.33</v>
      </c>
      <c r="L58" s="10">
        <v>51.33</v>
      </c>
      <c r="M58" s="10">
        <v>0</v>
      </c>
      <c r="N58" s="10">
        <v>0</v>
      </c>
      <c r="O58" s="1">
        <v>0</v>
      </c>
      <c r="P58" s="1">
        <v>0</v>
      </c>
      <c r="Q58" s="1">
        <v>4.33</v>
      </c>
      <c r="R58" s="1">
        <v>0</v>
      </c>
      <c r="S58" s="1">
        <v>0</v>
      </c>
      <c r="T58" s="1">
        <v>0</v>
      </c>
      <c r="U58" s="10">
        <v>0</v>
      </c>
      <c r="V58" s="10">
        <v>0</v>
      </c>
      <c r="W58" s="10">
        <v>-51.33</v>
      </c>
      <c r="X58" s="2">
        <v>55.65</v>
      </c>
      <c r="Y58" s="2">
        <v>33.630000000000003</v>
      </c>
      <c r="Z58" s="2">
        <v>0</v>
      </c>
      <c r="AA58" s="2">
        <v>0</v>
      </c>
      <c r="AB58" s="2">
        <v>0</v>
      </c>
      <c r="AC58" s="2">
        <v>0</v>
      </c>
      <c r="AD58" s="2">
        <v>34.81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8">
        <v>7.47</v>
      </c>
      <c r="AK58" s="2">
        <v>0</v>
      </c>
      <c r="AL58" s="2">
        <v>2</v>
      </c>
      <c r="AM58" s="1">
        <f t="shared" si="23"/>
        <v>4.33</v>
      </c>
      <c r="AN58" s="1">
        <f t="shared" si="25"/>
        <v>0</v>
      </c>
      <c r="AO58" s="1">
        <f t="shared" si="24"/>
        <v>51.33</v>
      </c>
      <c r="AP58" s="1">
        <f t="shared" si="19"/>
        <v>0</v>
      </c>
      <c r="AQ58" s="1">
        <f t="shared" si="18"/>
        <v>55.66</v>
      </c>
      <c r="AR58" s="2">
        <v>92.23</v>
      </c>
      <c r="AS58" s="2">
        <v>0</v>
      </c>
      <c r="AT58" s="2">
        <v>0</v>
      </c>
      <c r="AU58" s="2">
        <v>7.77</v>
      </c>
      <c r="AV58" s="1">
        <f t="shared" si="20"/>
        <v>51.335217999999998</v>
      </c>
      <c r="AW58" s="1">
        <f t="shared" si="22"/>
        <v>0</v>
      </c>
      <c r="AX58" s="1">
        <f t="shared" si="16"/>
        <v>0</v>
      </c>
      <c r="AY58" s="1">
        <f t="shared" si="17"/>
        <v>4.3247819999999999</v>
      </c>
      <c r="AZ58" s="1">
        <f t="shared" si="0"/>
        <v>8.9418685121107266</v>
      </c>
    </row>
    <row r="59" spans="1:52" x14ac:dyDescent="0.2">
      <c r="A59" s="1">
        <v>58</v>
      </c>
      <c r="B59" s="2" t="s">
        <v>42</v>
      </c>
      <c r="C59" s="2" t="s">
        <v>43</v>
      </c>
      <c r="D59" s="2">
        <v>2025</v>
      </c>
      <c r="E59" s="16" t="s">
        <v>58</v>
      </c>
      <c r="F59" s="2">
        <v>4</v>
      </c>
      <c r="G59" s="18">
        <v>1</v>
      </c>
      <c r="H59" s="17">
        <v>0</v>
      </c>
      <c r="I59" s="18">
        <v>0</v>
      </c>
      <c r="J59" s="18">
        <v>0</v>
      </c>
      <c r="K59" s="10">
        <v>0</v>
      </c>
      <c r="L59" s="10">
        <v>0</v>
      </c>
      <c r="M59" s="10">
        <v>0</v>
      </c>
      <c r="N59" s="10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0">
        <v>0</v>
      </c>
      <c r="V59" s="10">
        <v>0</v>
      </c>
      <c r="W59" s="10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100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1">
        <f t="shared" si="23"/>
        <v>0</v>
      </c>
      <c r="AN59" s="1">
        <f t="shared" si="25"/>
        <v>0</v>
      </c>
      <c r="AO59" s="1">
        <f t="shared" si="24"/>
        <v>0</v>
      </c>
      <c r="AP59" s="1">
        <f t="shared" si="19"/>
        <v>0</v>
      </c>
      <c r="AQ59" s="1">
        <f t="shared" si="18"/>
        <v>0</v>
      </c>
      <c r="AR59" s="2">
        <v>0</v>
      </c>
      <c r="AS59" s="2">
        <v>0</v>
      </c>
      <c r="AT59" s="2">
        <v>0</v>
      </c>
      <c r="AU59" s="2">
        <v>0</v>
      </c>
      <c r="AV59" s="1">
        <f t="shared" si="20"/>
        <v>0</v>
      </c>
      <c r="AW59" s="1">
        <f t="shared" si="22"/>
        <v>0</v>
      </c>
      <c r="AX59" s="1">
        <f t="shared" si="16"/>
        <v>0</v>
      </c>
      <c r="AY59" s="1">
        <f t="shared" si="17"/>
        <v>0</v>
      </c>
      <c r="AZ59" s="1">
        <f t="shared" si="0"/>
        <v>0</v>
      </c>
    </row>
    <row r="60" spans="1:52" x14ac:dyDescent="0.2">
      <c r="A60" s="1">
        <v>59</v>
      </c>
      <c r="B60" s="2" t="s">
        <v>42</v>
      </c>
      <c r="C60" s="2" t="s">
        <v>43</v>
      </c>
      <c r="D60" s="2">
        <v>2025</v>
      </c>
      <c r="E60" s="16" t="s">
        <v>58</v>
      </c>
      <c r="F60" s="2">
        <v>5</v>
      </c>
      <c r="G60" s="18">
        <v>1</v>
      </c>
      <c r="H60" s="17">
        <v>0</v>
      </c>
      <c r="I60" s="18">
        <v>0</v>
      </c>
      <c r="J60" s="18">
        <v>0</v>
      </c>
      <c r="K60" s="10">
        <v>0</v>
      </c>
      <c r="L60" s="10">
        <v>0</v>
      </c>
      <c r="M60" s="10">
        <v>0</v>
      </c>
      <c r="N60" s="10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0">
        <v>0</v>
      </c>
      <c r="V60" s="10">
        <v>0</v>
      </c>
      <c r="W60" s="10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100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1">
        <f t="shared" si="23"/>
        <v>0</v>
      </c>
      <c r="AN60" s="1">
        <f t="shared" si="25"/>
        <v>0</v>
      </c>
      <c r="AO60" s="1">
        <f t="shared" si="24"/>
        <v>0</v>
      </c>
      <c r="AP60" s="1">
        <f t="shared" si="19"/>
        <v>0</v>
      </c>
      <c r="AQ60" s="1">
        <f t="shared" si="18"/>
        <v>0</v>
      </c>
      <c r="AR60" s="2">
        <v>0</v>
      </c>
      <c r="AS60" s="2">
        <v>0</v>
      </c>
      <c r="AT60" s="2">
        <v>0</v>
      </c>
      <c r="AU60" s="2">
        <v>0</v>
      </c>
      <c r="AV60" s="1">
        <f t="shared" si="20"/>
        <v>0</v>
      </c>
      <c r="AW60" s="1">
        <f t="shared" si="22"/>
        <v>0</v>
      </c>
      <c r="AX60" s="1">
        <f t="shared" si="16"/>
        <v>0</v>
      </c>
      <c r="AY60" s="1">
        <f t="shared" si="17"/>
        <v>0</v>
      </c>
      <c r="AZ60" s="1">
        <f t="shared" si="0"/>
        <v>0</v>
      </c>
    </row>
    <row r="61" spans="1:52" x14ac:dyDescent="0.2">
      <c r="A61" s="1">
        <v>60</v>
      </c>
      <c r="B61" s="2" t="s">
        <v>42</v>
      </c>
      <c r="C61" s="2" t="s">
        <v>43</v>
      </c>
      <c r="D61" s="2">
        <v>2025</v>
      </c>
      <c r="E61" s="16" t="s">
        <v>58</v>
      </c>
      <c r="F61" s="2">
        <v>6</v>
      </c>
      <c r="G61" s="18">
        <v>1</v>
      </c>
      <c r="H61" s="17">
        <v>0</v>
      </c>
      <c r="I61" s="18">
        <v>0</v>
      </c>
      <c r="J61" s="18">
        <v>0</v>
      </c>
      <c r="K61" s="10">
        <v>0</v>
      </c>
      <c r="L61" s="10">
        <v>0</v>
      </c>
      <c r="M61" s="10">
        <v>0</v>
      </c>
      <c r="N61" s="10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0">
        <v>0</v>
      </c>
      <c r="V61" s="10">
        <v>0</v>
      </c>
      <c r="W61" s="10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100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1">
        <f t="shared" si="23"/>
        <v>0</v>
      </c>
      <c r="AN61" s="1">
        <f t="shared" si="25"/>
        <v>0</v>
      </c>
      <c r="AO61" s="1">
        <f t="shared" si="24"/>
        <v>0</v>
      </c>
      <c r="AP61" s="1">
        <f t="shared" si="19"/>
        <v>0</v>
      </c>
      <c r="AQ61" s="1">
        <f t="shared" si="18"/>
        <v>0</v>
      </c>
      <c r="AR61" s="2">
        <v>0</v>
      </c>
      <c r="AS61" s="2">
        <v>0</v>
      </c>
      <c r="AT61" s="2">
        <v>0</v>
      </c>
      <c r="AU61" s="2">
        <v>0</v>
      </c>
      <c r="AV61" s="1">
        <f t="shared" si="20"/>
        <v>0</v>
      </c>
      <c r="AW61" s="1">
        <f t="shared" si="22"/>
        <v>0</v>
      </c>
      <c r="AX61" s="1">
        <f t="shared" si="16"/>
        <v>0</v>
      </c>
      <c r="AY61" s="1">
        <f t="shared" si="17"/>
        <v>0</v>
      </c>
      <c r="AZ61" s="1">
        <f t="shared" si="0"/>
        <v>0</v>
      </c>
    </row>
    <row r="62" spans="1:52" x14ac:dyDescent="0.2">
      <c r="A62" s="1">
        <v>61</v>
      </c>
      <c r="B62" s="2" t="s">
        <v>42</v>
      </c>
      <c r="C62" s="2" t="s">
        <v>43</v>
      </c>
      <c r="D62" s="2">
        <v>2025</v>
      </c>
      <c r="E62" s="16" t="s">
        <v>58</v>
      </c>
      <c r="F62" s="2">
        <v>7</v>
      </c>
      <c r="G62" s="18">
        <v>1</v>
      </c>
      <c r="H62" s="17">
        <v>0</v>
      </c>
      <c r="I62" s="18">
        <v>0</v>
      </c>
      <c r="J62" s="18">
        <v>0</v>
      </c>
      <c r="K62" s="10">
        <v>0</v>
      </c>
      <c r="L62" s="10">
        <v>0</v>
      </c>
      <c r="M62" s="10">
        <v>0</v>
      </c>
      <c r="N62" s="10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0">
        <v>0</v>
      </c>
      <c r="V62" s="10">
        <v>0</v>
      </c>
      <c r="W62" s="10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100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1">
        <f t="shared" si="23"/>
        <v>0</v>
      </c>
      <c r="AN62" s="1">
        <f t="shared" si="25"/>
        <v>0</v>
      </c>
      <c r="AO62" s="1">
        <f t="shared" si="24"/>
        <v>0</v>
      </c>
      <c r="AP62" s="1">
        <f t="shared" si="19"/>
        <v>0</v>
      </c>
      <c r="AQ62" s="1">
        <f t="shared" si="18"/>
        <v>0</v>
      </c>
      <c r="AR62" s="2">
        <v>0</v>
      </c>
      <c r="AS62" s="2">
        <v>0</v>
      </c>
      <c r="AT62" s="2">
        <v>0</v>
      </c>
      <c r="AU62" s="2">
        <v>0</v>
      </c>
      <c r="AV62" s="1">
        <f t="shared" si="20"/>
        <v>0</v>
      </c>
      <c r="AW62" s="1">
        <f t="shared" si="22"/>
        <v>0</v>
      </c>
      <c r="AX62" s="1">
        <f t="shared" si="16"/>
        <v>0</v>
      </c>
      <c r="AY62" s="1">
        <f t="shared" si="17"/>
        <v>0</v>
      </c>
      <c r="AZ62" s="1">
        <f t="shared" si="0"/>
        <v>0</v>
      </c>
    </row>
    <row r="63" spans="1:52" x14ac:dyDescent="0.2">
      <c r="A63" s="1">
        <v>62</v>
      </c>
      <c r="B63" s="2" t="s">
        <v>42</v>
      </c>
      <c r="C63" s="2" t="s">
        <v>43</v>
      </c>
      <c r="D63" s="2">
        <v>2025</v>
      </c>
      <c r="E63" s="16" t="s">
        <v>58</v>
      </c>
      <c r="F63" s="2">
        <v>8</v>
      </c>
      <c r="G63" s="18">
        <v>1</v>
      </c>
      <c r="H63" s="17">
        <v>0</v>
      </c>
      <c r="I63" s="18">
        <v>0</v>
      </c>
      <c r="J63" s="18">
        <v>0</v>
      </c>
      <c r="K63" s="10">
        <v>0</v>
      </c>
      <c r="L63" s="10">
        <v>0</v>
      </c>
      <c r="M63" s="10">
        <v>0</v>
      </c>
      <c r="N63" s="10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0">
        <v>0</v>
      </c>
      <c r="V63" s="10">
        <v>0</v>
      </c>
      <c r="W63" s="10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100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1">
        <f t="shared" si="23"/>
        <v>0</v>
      </c>
      <c r="AN63" s="1">
        <f t="shared" si="25"/>
        <v>0</v>
      </c>
      <c r="AO63" s="1">
        <f t="shared" si="24"/>
        <v>0</v>
      </c>
      <c r="AP63" s="1">
        <f t="shared" si="19"/>
        <v>0</v>
      </c>
      <c r="AQ63" s="1">
        <f t="shared" si="18"/>
        <v>0</v>
      </c>
      <c r="AR63" s="2">
        <v>0</v>
      </c>
      <c r="AS63" s="2">
        <v>0</v>
      </c>
      <c r="AT63" s="2">
        <v>0</v>
      </c>
      <c r="AU63" s="2">
        <v>0</v>
      </c>
      <c r="AV63" s="1">
        <f t="shared" si="20"/>
        <v>0</v>
      </c>
      <c r="AW63" s="1">
        <f t="shared" si="22"/>
        <v>0</v>
      </c>
      <c r="AX63" s="1">
        <f t="shared" si="16"/>
        <v>0</v>
      </c>
      <c r="AY63" s="1">
        <f t="shared" si="17"/>
        <v>0</v>
      </c>
      <c r="AZ63" s="1">
        <f t="shared" si="0"/>
        <v>0</v>
      </c>
    </row>
    <row r="64" spans="1:52" x14ac:dyDescent="0.2">
      <c r="A64" s="1">
        <v>63</v>
      </c>
      <c r="B64" s="2" t="s">
        <v>42</v>
      </c>
      <c r="C64" s="2" t="s">
        <v>43</v>
      </c>
      <c r="D64" s="2">
        <v>2025</v>
      </c>
      <c r="E64" s="16" t="s">
        <v>58</v>
      </c>
      <c r="F64" s="2">
        <v>9</v>
      </c>
      <c r="G64" s="18">
        <v>1</v>
      </c>
      <c r="H64" s="17">
        <v>0</v>
      </c>
      <c r="I64" s="18">
        <v>0</v>
      </c>
      <c r="J64" s="18">
        <v>0</v>
      </c>
      <c r="K64" s="10">
        <v>0</v>
      </c>
      <c r="L64" s="10">
        <v>0</v>
      </c>
      <c r="M64" s="10">
        <v>0</v>
      </c>
      <c r="N64" s="10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0">
        <v>0</v>
      </c>
      <c r="V64" s="10">
        <v>0</v>
      </c>
      <c r="W64" s="10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100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1">
        <f t="shared" si="23"/>
        <v>0</v>
      </c>
      <c r="AN64" s="1">
        <f t="shared" si="25"/>
        <v>0</v>
      </c>
      <c r="AO64" s="1">
        <f t="shared" si="24"/>
        <v>0</v>
      </c>
      <c r="AP64" s="1">
        <f t="shared" si="19"/>
        <v>0</v>
      </c>
      <c r="AQ64" s="1">
        <f t="shared" si="18"/>
        <v>0</v>
      </c>
      <c r="AR64" s="2">
        <v>0</v>
      </c>
      <c r="AS64" s="2">
        <v>0</v>
      </c>
      <c r="AT64" s="2">
        <v>0</v>
      </c>
      <c r="AU64" s="2">
        <v>0</v>
      </c>
      <c r="AV64" s="1">
        <f t="shared" si="20"/>
        <v>0</v>
      </c>
      <c r="AW64" s="1">
        <f t="shared" si="22"/>
        <v>0</v>
      </c>
      <c r="AX64" s="1">
        <f t="shared" si="16"/>
        <v>0</v>
      </c>
      <c r="AY64" s="1">
        <f t="shared" si="17"/>
        <v>0</v>
      </c>
      <c r="AZ64" s="1">
        <f t="shared" si="0"/>
        <v>0</v>
      </c>
    </row>
    <row r="65" spans="1:52" x14ac:dyDescent="0.2">
      <c r="A65" s="1">
        <v>64</v>
      </c>
      <c r="B65" s="2" t="s">
        <v>42</v>
      </c>
      <c r="C65" s="2" t="s">
        <v>43</v>
      </c>
      <c r="D65" s="2">
        <v>2025</v>
      </c>
      <c r="E65" s="14" t="s">
        <v>47</v>
      </c>
      <c r="F65" s="2">
        <v>1</v>
      </c>
      <c r="G65" s="17">
        <v>1.0569999999999999</v>
      </c>
      <c r="H65" s="17">
        <v>0</v>
      </c>
      <c r="I65" s="18">
        <v>0</v>
      </c>
      <c r="J65" s="18">
        <v>-0.28900000000000003</v>
      </c>
      <c r="K65" s="10">
        <v>0</v>
      </c>
      <c r="L65" s="10">
        <v>0</v>
      </c>
      <c r="M65" s="10">
        <v>0</v>
      </c>
      <c r="N65" s="10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0">
        <v>0</v>
      </c>
      <c r="V65" s="10">
        <v>0</v>
      </c>
      <c r="W65" s="10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100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1">
        <f t="shared" si="23"/>
        <v>0</v>
      </c>
      <c r="AN65" s="1">
        <f t="shared" si="25"/>
        <v>0</v>
      </c>
      <c r="AO65" s="1">
        <f t="shared" si="24"/>
        <v>0</v>
      </c>
      <c r="AP65" s="1">
        <f t="shared" si="19"/>
        <v>0</v>
      </c>
      <c r="AQ65" s="1">
        <f t="shared" si="18"/>
        <v>0</v>
      </c>
      <c r="AR65" s="2">
        <v>0</v>
      </c>
      <c r="AS65" s="2">
        <v>0</v>
      </c>
      <c r="AT65" s="2">
        <v>0</v>
      </c>
      <c r="AU65" s="2">
        <v>0</v>
      </c>
      <c r="AV65" s="1">
        <f t="shared" si="20"/>
        <v>0</v>
      </c>
      <c r="AW65" s="1">
        <f t="shared" si="22"/>
        <v>0</v>
      </c>
      <c r="AX65" s="1">
        <f t="shared" si="16"/>
        <v>0</v>
      </c>
      <c r="AY65" s="1">
        <f t="shared" si="17"/>
        <v>0</v>
      </c>
      <c r="AZ65" s="1">
        <f t="shared" si="0"/>
        <v>-0.30000000000000004</v>
      </c>
    </row>
    <row r="66" spans="1:52" x14ac:dyDescent="0.2">
      <c r="A66" s="1">
        <v>65</v>
      </c>
      <c r="B66" s="2" t="s">
        <v>42</v>
      </c>
      <c r="C66" s="2" t="s">
        <v>43</v>
      </c>
      <c r="D66" s="2">
        <v>2025</v>
      </c>
      <c r="E66" s="14" t="s">
        <v>47</v>
      </c>
      <c r="F66" s="2">
        <v>2</v>
      </c>
      <c r="G66" s="17">
        <v>1.0580000000000001</v>
      </c>
      <c r="H66" s="17">
        <v>0</v>
      </c>
      <c r="I66" s="18">
        <v>0</v>
      </c>
      <c r="J66" s="18">
        <v>-0.28900000000000003</v>
      </c>
      <c r="K66" s="1">
        <v>0</v>
      </c>
      <c r="L66" s="1">
        <v>0</v>
      </c>
      <c r="M66" s="1">
        <v>0</v>
      </c>
      <c r="N66" s="10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0">
        <v>0</v>
      </c>
      <c r="V66" s="10">
        <v>0</v>
      </c>
      <c r="W66" s="10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100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1">
        <f>(Q66+R66)</f>
        <v>0</v>
      </c>
      <c r="AN66" s="1">
        <f t="shared" si="2"/>
        <v>0</v>
      </c>
      <c r="AO66" s="1">
        <f t="shared" si="3"/>
        <v>0</v>
      </c>
      <c r="AP66" s="1">
        <f t="shared" si="4"/>
        <v>0</v>
      </c>
      <c r="AQ66" s="1">
        <f>(AM66+AN66+AO66+AP66)</f>
        <v>0</v>
      </c>
      <c r="AR66" s="2">
        <v>0</v>
      </c>
      <c r="AS66" s="2">
        <v>0</v>
      </c>
      <c r="AT66" s="2">
        <v>0</v>
      </c>
      <c r="AU66" s="2">
        <v>0</v>
      </c>
      <c r="AV66" s="1">
        <f t="shared" si="6"/>
        <v>0</v>
      </c>
      <c r="AW66" s="1">
        <f t="shared" si="7"/>
        <v>0</v>
      </c>
      <c r="AX66" s="1">
        <f t="shared" si="8"/>
        <v>0</v>
      </c>
      <c r="AY66" s="1">
        <f t="shared" si="17"/>
        <v>0</v>
      </c>
      <c r="AZ66" s="1">
        <f t="shared" ref="AZ66:AZ82" si="26">(J66*(1+0.5))/(2.89*(1-0.5))</f>
        <v>-0.30000000000000004</v>
      </c>
    </row>
    <row r="67" spans="1:52" x14ac:dyDescent="0.2">
      <c r="A67" s="1">
        <v>66</v>
      </c>
      <c r="B67" s="2" t="s">
        <v>42</v>
      </c>
      <c r="C67" s="2" t="s">
        <v>43</v>
      </c>
      <c r="D67" s="2">
        <v>2025</v>
      </c>
      <c r="E67" s="14" t="s">
        <v>47</v>
      </c>
      <c r="F67" s="2">
        <v>3</v>
      </c>
      <c r="G67" s="17">
        <v>1.1180000000000001</v>
      </c>
      <c r="H67" s="17">
        <v>0</v>
      </c>
      <c r="I67" s="18">
        <v>0</v>
      </c>
      <c r="J67" s="18">
        <v>-0.30499999999999999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100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1">
        <f t="shared" si="1"/>
        <v>0</v>
      </c>
      <c r="AN67" s="1">
        <f t="shared" ref="AN67:AN76" si="27">(S67+T67)</f>
        <v>0</v>
      </c>
      <c r="AO67" s="1">
        <f t="shared" ref="AO67:AO82" si="28">(K67+N67+O67+P67)</f>
        <v>0</v>
      </c>
      <c r="AP67" s="1">
        <f t="shared" ref="AP67:AP70" si="29">(L67+M67+U67+V67+W67)</f>
        <v>0</v>
      </c>
      <c r="AQ67" s="1">
        <f t="shared" si="5"/>
        <v>0</v>
      </c>
      <c r="AR67" s="2">
        <v>0</v>
      </c>
      <c r="AS67" s="2">
        <v>0</v>
      </c>
      <c r="AT67" s="2">
        <v>0</v>
      </c>
      <c r="AU67" s="2">
        <v>0</v>
      </c>
      <c r="AV67" s="1">
        <f t="shared" ref="AV67:AV72" si="30">(AR67*AQ67)/100</f>
        <v>0</v>
      </c>
      <c r="AW67" s="1">
        <f t="shared" ref="AW67:AW75" si="31">(AS67*AQ67)/100</f>
        <v>0</v>
      </c>
      <c r="AX67" s="1">
        <f t="shared" ref="AX67:AX82" si="32">(AT67*AQ67)/100</f>
        <v>0</v>
      </c>
      <c r="AY67" s="1">
        <f t="shared" ref="AY67:AY82" si="33">(AU67*AQ67)/100</f>
        <v>0</v>
      </c>
      <c r="AZ67" s="1">
        <f t="shared" si="26"/>
        <v>-0.31660899653979241</v>
      </c>
    </row>
    <row r="68" spans="1:52" x14ac:dyDescent="0.2">
      <c r="A68" s="1">
        <v>67</v>
      </c>
      <c r="B68" s="2" t="s">
        <v>42</v>
      </c>
      <c r="C68" s="2" t="s">
        <v>43</v>
      </c>
      <c r="D68" s="2">
        <v>2025</v>
      </c>
      <c r="E68" s="14" t="s">
        <v>47</v>
      </c>
      <c r="F68" s="2">
        <v>4</v>
      </c>
      <c r="G68" s="17">
        <v>1.1339999999999999</v>
      </c>
      <c r="H68" s="17">
        <v>0</v>
      </c>
      <c r="I68" s="18">
        <v>0</v>
      </c>
      <c r="J68" s="18">
        <v>-0.31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100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1">
        <f t="shared" ref="AM68:AM73" si="34">(Q68+R68)</f>
        <v>0</v>
      </c>
      <c r="AN68" s="1">
        <f t="shared" si="27"/>
        <v>0</v>
      </c>
      <c r="AO68" s="1">
        <f t="shared" si="28"/>
        <v>0</v>
      </c>
      <c r="AP68" s="1">
        <f t="shared" si="29"/>
        <v>0</v>
      </c>
      <c r="AQ68" s="1">
        <f t="shared" ref="AQ68:AQ82" si="35">(AM68+AN68+AO68+AP68)</f>
        <v>0</v>
      </c>
      <c r="AR68" s="2">
        <v>0</v>
      </c>
      <c r="AS68" s="2">
        <v>0</v>
      </c>
      <c r="AT68" s="2">
        <v>0</v>
      </c>
      <c r="AU68" s="2">
        <v>0</v>
      </c>
      <c r="AV68" s="1">
        <f>(AR68*AQ68)/100</f>
        <v>0</v>
      </c>
      <c r="AW68" s="1">
        <f t="shared" si="31"/>
        <v>0</v>
      </c>
      <c r="AX68" s="1">
        <f t="shared" si="32"/>
        <v>0</v>
      </c>
      <c r="AY68" s="1">
        <f t="shared" si="33"/>
        <v>0</v>
      </c>
      <c r="AZ68" s="1">
        <f t="shared" si="26"/>
        <v>-0.3217993079584775</v>
      </c>
    </row>
    <row r="69" spans="1:52" x14ac:dyDescent="0.2">
      <c r="A69" s="1">
        <v>68</v>
      </c>
      <c r="B69" s="2" t="s">
        <v>42</v>
      </c>
      <c r="C69" s="2" t="s">
        <v>43</v>
      </c>
      <c r="D69" s="2">
        <v>2025</v>
      </c>
      <c r="E69" s="14" t="s">
        <v>47</v>
      </c>
      <c r="F69" s="2">
        <v>5</v>
      </c>
      <c r="G69" s="17">
        <v>1.107</v>
      </c>
      <c r="H69" s="17">
        <v>0</v>
      </c>
      <c r="I69" s="18">
        <v>0</v>
      </c>
      <c r="J69" s="18">
        <v>-0.30199999999999999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100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1">
        <f t="shared" si="34"/>
        <v>0</v>
      </c>
      <c r="AN69" s="1">
        <f t="shared" si="27"/>
        <v>0</v>
      </c>
      <c r="AO69" s="1">
        <f t="shared" si="28"/>
        <v>0</v>
      </c>
      <c r="AP69" s="1">
        <f t="shared" si="29"/>
        <v>0</v>
      </c>
      <c r="AQ69" s="1">
        <f t="shared" si="35"/>
        <v>0</v>
      </c>
      <c r="AR69" s="2">
        <v>0</v>
      </c>
      <c r="AS69" s="2">
        <v>0</v>
      </c>
      <c r="AT69" s="2">
        <v>0</v>
      </c>
      <c r="AU69" s="2">
        <v>0</v>
      </c>
      <c r="AV69" s="1">
        <f t="shared" si="30"/>
        <v>0</v>
      </c>
      <c r="AW69" s="1">
        <f t="shared" si="31"/>
        <v>0</v>
      </c>
      <c r="AX69" s="1">
        <f t="shared" si="32"/>
        <v>0</v>
      </c>
      <c r="AY69" s="1">
        <f t="shared" si="33"/>
        <v>0</v>
      </c>
      <c r="AZ69" s="1">
        <f t="shared" si="26"/>
        <v>-0.31349480968858129</v>
      </c>
    </row>
    <row r="70" spans="1:52" x14ac:dyDescent="0.2">
      <c r="A70" s="1">
        <v>69</v>
      </c>
      <c r="B70" s="2" t="s">
        <v>42</v>
      </c>
      <c r="C70" s="2" t="s">
        <v>43</v>
      </c>
      <c r="D70" s="2">
        <v>2025</v>
      </c>
      <c r="E70" s="14" t="s">
        <v>47</v>
      </c>
      <c r="F70" s="2">
        <v>6</v>
      </c>
      <c r="G70" s="17">
        <v>1.071</v>
      </c>
      <c r="H70" s="17">
        <v>0</v>
      </c>
      <c r="I70" s="18">
        <v>0</v>
      </c>
      <c r="J70" s="18">
        <v>-0.29200000000000004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100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1">
        <f t="shared" si="34"/>
        <v>0</v>
      </c>
      <c r="AN70" s="1">
        <f t="shared" si="27"/>
        <v>0</v>
      </c>
      <c r="AO70" s="1">
        <f t="shared" si="28"/>
        <v>0</v>
      </c>
      <c r="AP70" s="1">
        <f t="shared" si="29"/>
        <v>0</v>
      </c>
      <c r="AQ70" s="1">
        <f t="shared" si="35"/>
        <v>0</v>
      </c>
      <c r="AR70" s="2">
        <v>0</v>
      </c>
      <c r="AS70" s="2">
        <v>0</v>
      </c>
      <c r="AT70" s="2">
        <v>0</v>
      </c>
      <c r="AU70" s="2">
        <v>0</v>
      </c>
      <c r="AV70" s="1">
        <f t="shared" si="30"/>
        <v>0</v>
      </c>
      <c r="AW70" s="1">
        <f t="shared" si="31"/>
        <v>0</v>
      </c>
      <c r="AX70" s="1">
        <f t="shared" si="32"/>
        <v>0</v>
      </c>
      <c r="AY70" s="1">
        <f t="shared" si="33"/>
        <v>0</v>
      </c>
      <c r="AZ70" s="1">
        <f t="shared" si="26"/>
        <v>-0.30311418685121111</v>
      </c>
    </row>
    <row r="71" spans="1:52" x14ac:dyDescent="0.2">
      <c r="A71" s="1">
        <v>70</v>
      </c>
      <c r="B71" s="2" t="s">
        <v>42</v>
      </c>
      <c r="C71" s="2" t="s">
        <v>43</v>
      </c>
      <c r="D71" s="2">
        <v>2025</v>
      </c>
      <c r="E71" s="14" t="s">
        <v>47</v>
      </c>
      <c r="F71" s="2">
        <v>7</v>
      </c>
      <c r="G71" s="17">
        <v>1.048</v>
      </c>
      <c r="H71" s="17">
        <v>0</v>
      </c>
      <c r="I71" s="18">
        <v>0</v>
      </c>
      <c r="J71" s="18">
        <v>-0.29600000000000004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100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1">
        <f t="shared" si="34"/>
        <v>0</v>
      </c>
      <c r="AN71" s="1">
        <f t="shared" si="27"/>
        <v>0</v>
      </c>
      <c r="AO71" s="1">
        <f t="shared" si="28"/>
        <v>0</v>
      </c>
      <c r="AP71" s="1">
        <f>(L71+M71+U71+V71+W71)</f>
        <v>0</v>
      </c>
      <c r="AQ71" s="1">
        <f t="shared" si="35"/>
        <v>0</v>
      </c>
      <c r="AR71" s="2">
        <v>0</v>
      </c>
      <c r="AS71" s="2">
        <v>0</v>
      </c>
      <c r="AT71" s="2">
        <v>0</v>
      </c>
      <c r="AU71" s="2">
        <v>0</v>
      </c>
      <c r="AV71" s="1">
        <f t="shared" si="30"/>
        <v>0</v>
      </c>
      <c r="AW71" s="1">
        <f t="shared" si="31"/>
        <v>0</v>
      </c>
      <c r="AX71" s="1">
        <f t="shared" si="32"/>
        <v>0</v>
      </c>
      <c r="AY71" s="1">
        <f t="shared" si="33"/>
        <v>0</v>
      </c>
      <c r="AZ71" s="1">
        <f t="shared" si="26"/>
        <v>-0.30726643598615921</v>
      </c>
    </row>
    <row r="72" spans="1:52" x14ac:dyDescent="0.2">
      <c r="A72" s="1">
        <v>71</v>
      </c>
      <c r="B72" s="2" t="s">
        <v>42</v>
      </c>
      <c r="C72" s="2" t="s">
        <v>43</v>
      </c>
      <c r="D72" s="2">
        <v>2025</v>
      </c>
      <c r="E72" s="14" t="s">
        <v>47</v>
      </c>
      <c r="F72" s="2">
        <v>8</v>
      </c>
      <c r="G72" s="17">
        <v>1.194</v>
      </c>
      <c r="H72" s="17">
        <v>0</v>
      </c>
      <c r="I72" s="18">
        <v>0</v>
      </c>
      <c r="J72" s="18">
        <v>-0.32600000000000001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100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1">
        <f t="shared" si="34"/>
        <v>0</v>
      </c>
      <c r="AN72" s="1">
        <f t="shared" si="27"/>
        <v>0</v>
      </c>
      <c r="AO72" s="1">
        <f t="shared" si="28"/>
        <v>0</v>
      </c>
      <c r="AP72" s="1">
        <f t="shared" ref="AP72:AP82" si="36">(L72+M72+U72+V72+W72)</f>
        <v>0</v>
      </c>
      <c r="AQ72" s="1">
        <f t="shared" si="35"/>
        <v>0</v>
      </c>
      <c r="AR72" s="2">
        <v>0</v>
      </c>
      <c r="AS72" s="2">
        <v>0</v>
      </c>
      <c r="AT72" s="2">
        <v>0</v>
      </c>
      <c r="AU72" s="2">
        <v>0</v>
      </c>
      <c r="AV72" s="1">
        <f t="shared" si="30"/>
        <v>0</v>
      </c>
      <c r="AW72" s="1">
        <f t="shared" si="31"/>
        <v>0</v>
      </c>
      <c r="AX72" s="1">
        <f t="shared" si="32"/>
        <v>0</v>
      </c>
      <c r="AY72" s="1">
        <f t="shared" si="33"/>
        <v>0</v>
      </c>
      <c r="AZ72" s="1">
        <f t="shared" si="26"/>
        <v>-0.33840830449826986</v>
      </c>
    </row>
    <row r="73" spans="1:52" x14ac:dyDescent="0.2">
      <c r="A73" s="1">
        <v>72</v>
      </c>
      <c r="B73" s="2" t="s">
        <v>42</v>
      </c>
      <c r="C73" s="2" t="s">
        <v>43</v>
      </c>
      <c r="D73" s="2">
        <v>2025</v>
      </c>
      <c r="E73" s="14" t="s">
        <v>47</v>
      </c>
      <c r="F73" s="2">
        <v>9</v>
      </c>
      <c r="G73" s="17">
        <v>1.1080000000000001</v>
      </c>
      <c r="H73" s="17">
        <v>0</v>
      </c>
      <c r="I73" s="18">
        <v>0</v>
      </c>
      <c r="J73" s="18">
        <v>-0.30199999999999999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100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1">
        <f t="shared" si="34"/>
        <v>0</v>
      </c>
      <c r="AN73" s="1">
        <f t="shared" si="27"/>
        <v>0</v>
      </c>
      <c r="AO73" s="1">
        <f t="shared" si="28"/>
        <v>0</v>
      </c>
      <c r="AP73" s="1">
        <f t="shared" si="36"/>
        <v>0</v>
      </c>
      <c r="AQ73" s="1">
        <f t="shared" si="35"/>
        <v>0</v>
      </c>
      <c r="AR73" s="2">
        <v>0</v>
      </c>
      <c r="AS73" s="2">
        <v>0</v>
      </c>
      <c r="AT73" s="2">
        <v>0</v>
      </c>
      <c r="AU73" s="2">
        <v>0</v>
      </c>
      <c r="AV73" s="1">
        <f>(AR73*AQ73)/100</f>
        <v>0</v>
      </c>
      <c r="AW73" s="1">
        <f t="shared" si="31"/>
        <v>0</v>
      </c>
      <c r="AX73" s="1">
        <f t="shared" si="32"/>
        <v>0</v>
      </c>
      <c r="AY73" s="1">
        <f t="shared" si="33"/>
        <v>0</v>
      </c>
      <c r="AZ73" s="1">
        <f t="shared" si="26"/>
        <v>-0.31349480968858129</v>
      </c>
    </row>
    <row r="74" spans="1:52" x14ac:dyDescent="0.2">
      <c r="A74" s="1">
        <v>73</v>
      </c>
      <c r="B74" s="2" t="s">
        <v>42</v>
      </c>
      <c r="C74" s="2" t="s">
        <v>43</v>
      </c>
      <c r="D74" s="2">
        <v>2025</v>
      </c>
      <c r="E74" s="15" t="s">
        <v>48</v>
      </c>
      <c r="F74" s="2">
        <v>1</v>
      </c>
      <c r="G74" s="17">
        <v>1.0549999999999999</v>
      </c>
      <c r="H74" s="17">
        <v>0</v>
      </c>
      <c r="I74" s="18">
        <v>0</v>
      </c>
      <c r="J74" s="18">
        <v>-0.81399999999999995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100</v>
      </c>
      <c r="AJ74" s="3">
        <v>2.7</v>
      </c>
      <c r="AK74" s="2">
        <v>0</v>
      </c>
      <c r="AL74" s="2">
        <v>0</v>
      </c>
      <c r="AM74" s="1">
        <f>(Q74+R74)</f>
        <v>0</v>
      </c>
      <c r="AN74" s="1">
        <f t="shared" si="27"/>
        <v>0</v>
      </c>
      <c r="AO74" s="1">
        <f t="shared" si="28"/>
        <v>0</v>
      </c>
      <c r="AP74" s="1">
        <f t="shared" si="36"/>
        <v>0</v>
      </c>
      <c r="AQ74" s="1">
        <f t="shared" si="35"/>
        <v>0</v>
      </c>
      <c r="AR74" s="2">
        <v>0</v>
      </c>
      <c r="AS74" s="2">
        <v>0</v>
      </c>
      <c r="AT74" s="2">
        <v>0</v>
      </c>
      <c r="AU74" s="2">
        <v>0</v>
      </c>
      <c r="AV74" s="1">
        <f t="shared" ref="AV74:AV82" si="37">(AR74*AQ74)/100</f>
        <v>0</v>
      </c>
      <c r="AW74" s="1">
        <f t="shared" si="31"/>
        <v>0</v>
      </c>
      <c r="AX74" s="1">
        <f t="shared" si="32"/>
        <v>0</v>
      </c>
      <c r="AY74" s="1">
        <f t="shared" si="33"/>
        <v>0</v>
      </c>
      <c r="AZ74" s="1">
        <f t="shared" si="26"/>
        <v>-0.84498269896193756</v>
      </c>
    </row>
    <row r="75" spans="1:52" x14ac:dyDescent="0.2">
      <c r="A75" s="1">
        <v>74</v>
      </c>
      <c r="B75" s="2" t="s">
        <v>42</v>
      </c>
      <c r="C75" s="2" t="s">
        <v>43</v>
      </c>
      <c r="D75" s="2">
        <v>2025</v>
      </c>
      <c r="E75" s="15" t="s">
        <v>48</v>
      </c>
      <c r="F75" s="2">
        <v>2</v>
      </c>
      <c r="G75" s="17">
        <v>1.0589999999999999</v>
      </c>
      <c r="H75" s="17">
        <v>0</v>
      </c>
      <c r="I75" s="18">
        <v>0</v>
      </c>
      <c r="J75" s="18">
        <v>-0.81399999999999995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100</v>
      </c>
      <c r="AJ75" s="3">
        <v>1.1000000000000001</v>
      </c>
      <c r="AK75" s="2">
        <v>0</v>
      </c>
      <c r="AL75" s="2">
        <v>0</v>
      </c>
      <c r="AM75" s="1">
        <f t="shared" ref="AM75:AM82" si="38">(Q75+R75)</f>
        <v>0</v>
      </c>
      <c r="AN75" s="1">
        <f t="shared" si="27"/>
        <v>0</v>
      </c>
      <c r="AO75" s="1">
        <f t="shared" si="28"/>
        <v>0</v>
      </c>
      <c r="AP75" s="1">
        <f t="shared" si="36"/>
        <v>0</v>
      </c>
      <c r="AQ75" s="1">
        <f t="shared" si="35"/>
        <v>0</v>
      </c>
      <c r="AR75" s="2">
        <v>0</v>
      </c>
      <c r="AS75" s="2">
        <v>0</v>
      </c>
      <c r="AT75" s="2">
        <v>0</v>
      </c>
      <c r="AU75" s="2">
        <v>0</v>
      </c>
      <c r="AV75" s="1">
        <f t="shared" si="37"/>
        <v>0</v>
      </c>
      <c r="AW75" s="1">
        <f t="shared" si="31"/>
        <v>0</v>
      </c>
      <c r="AX75" s="1">
        <f t="shared" si="32"/>
        <v>0</v>
      </c>
      <c r="AY75" s="1">
        <f t="shared" si="33"/>
        <v>0</v>
      </c>
      <c r="AZ75" s="1">
        <f t="shared" si="26"/>
        <v>-0.84498269896193756</v>
      </c>
    </row>
    <row r="76" spans="1:52" x14ac:dyDescent="0.2">
      <c r="A76" s="1">
        <v>75</v>
      </c>
      <c r="B76" s="2" t="s">
        <v>42</v>
      </c>
      <c r="C76" s="2" t="s">
        <v>43</v>
      </c>
      <c r="D76" s="2">
        <v>2025</v>
      </c>
      <c r="E76" s="15" t="s">
        <v>48</v>
      </c>
      <c r="F76" s="2">
        <v>3</v>
      </c>
      <c r="G76" s="17">
        <v>1.155</v>
      </c>
      <c r="H76" s="17">
        <v>0</v>
      </c>
      <c r="I76" s="18">
        <v>0</v>
      </c>
      <c r="J76" s="18">
        <v>-0.81399999999999995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100</v>
      </c>
      <c r="AJ76" s="3">
        <v>2.5</v>
      </c>
      <c r="AK76" s="2">
        <v>0</v>
      </c>
      <c r="AL76" s="2">
        <v>0</v>
      </c>
      <c r="AM76" s="1">
        <f t="shared" si="38"/>
        <v>0</v>
      </c>
      <c r="AN76" s="1">
        <f t="shared" si="27"/>
        <v>0</v>
      </c>
      <c r="AO76" s="1">
        <f t="shared" si="28"/>
        <v>0</v>
      </c>
      <c r="AP76" s="1">
        <f t="shared" si="36"/>
        <v>0</v>
      </c>
      <c r="AQ76" s="1">
        <f t="shared" si="35"/>
        <v>0</v>
      </c>
      <c r="AR76" s="2">
        <v>0</v>
      </c>
      <c r="AS76" s="2">
        <v>0</v>
      </c>
      <c r="AT76" s="2">
        <v>0</v>
      </c>
      <c r="AU76" s="2">
        <v>0</v>
      </c>
      <c r="AV76" s="1">
        <f t="shared" si="37"/>
        <v>0</v>
      </c>
      <c r="AW76" s="1">
        <f>(AS76*AQ76)/100</f>
        <v>0</v>
      </c>
      <c r="AX76" s="1">
        <f t="shared" si="32"/>
        <v>0</v>
      </c>
      <c r="AY76" s="1">
        <f t="shared" si="33"/>
        <v>0</v>
      </c>
      <c r="AZ76" s="1">
        <f t="shared" si="26"/>
        <v>-0.84498269896193756</v>
      </c>
    </row>
    <row r="77" spans="1:52" x14ac:dyDescent="0.2">
      <c r="A77" s="1">
        <v>76</v>
      </c>
      <c r="B77" s="2" t="s">
        <v>42</v>
      </c>
      <c r="C77" s="2" t="s">
        <v>43</v>
      </c>
      <c r="D77" s="2">
        <v>2025</v>
      </c>
      <c r="E77" s="15" t="s">
        <v>48</v>
      </c>
      <c r="F77" s="2">
        <v>4</v>
      </c>
      <c r="G77" s="18">
        <v>1</v>
      </c>
      <c r="H77" s="17">
        <v>0</v>
      </c>
      <c r="I77" s="18">
        <v>0</v>
      </c>
      <c r="J77" s="18">
        <v>-0.81399999999999995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100</v>
      </c>
      <c r="AJ77" s="3">
        <v>1.1000000000000001</v>
      </c>
      <c r="AK77" s="2">
        <v>0</v>
      </c>
      <c r="AL77" s="2">
        <v>0</v>
      </c>
      <c r="AM77" s="1">
        <f t="shared" si="38"/>
        <v>0</v>
      </c>
      <c r="AN77" s="1">
        <f>(S77+T77)</f>
        <v>0</v>
      </c>
      <c r="AO77" s="1">
        <f t="shared" si="28"/>
        <v>0</v>
      </c>
      <c r="AP77" s="1">
        <f t="shared" si="36"/>
        <v>0</v>
      </c>
      <c r="AQ77" s="1">
        <f t="shared" si="35"/>
        <v>0</v>
      </c>
      <c r="AR77" s="2">
        <v>0</v>
      </c>
      <c r="AS77" s="2">
        <v>0</v>
      </c>
      <c r="AT77" s="2">
        <v>0</v>
      </c>
      <c r="AU77" s="2">
        <v>0</v>
      </c>
      <c r="AV77" s="1">
        <f t="shared" si="37"/>
        <v>0</v>
      </c>
      <c r="AW77" s="1">
        <f t="shared" ref="AW77:AW82" si="39">(AS77*AQ77)/100</f>
        <v>0</v>
      </c>
      <c r="AX77" s="1">
        <f t="shared" si="32"/>
        <v>0</v>
      </c>
      <c r="AY77" s="1">
        <f t="shared" si="33"/>
        <v>0</v>
      </c>
      <c r="AZ77" s="1">
        <f t="shared" si="26"/>
        <v>-0.84498269896193756</v>
      </c>
    </row>
    <row r="78" spans="1:52" x14ac:dyDescent="0.2">
      <c r="A78" s="1">
        <v>77</v>
      </c>
      <c r="B78" s="2" t="s">
        <v>42</v>
      </c>
      <c r="C78" s="2" t="s">
        <v>43</v>
      </c>
      <c r="D78" s="2">
        <v>2025</v>
      </c>
      <c r="E78" s="15" t="s">
        <v>48</v>
      </c>
      <c r="F78" s="2">
        <v>5</v>
      </c>
      <c r="G78" s="18">
        <v>1</v>
      </c>
      <c r="H78" s="17">
        <v>0</v>
      </c>
      <c r="I78" s="18">
        <v>0</v>
      </c>
      <c r="J78" s="18">
        <v>-0.81399999999999995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100</v>
      </c>
      <c r="AJ78" s="3">
        <v>1.3</v>
      </c>
      <c r="AK78" s="2">
        <v>0</v>
      </c>
      <c r="AL78" s="2">
        <v>0</v>
      </c>
      <c r="AM78" s="1">
        <f t="shared" si="38"/>
        <v>0</v>
      </c>
      <c r="AN78" s="1">
        <f t="shared" ref="AN78:AN82" si="40">(S78+T78)</f>
        <v>0</v>
      </c>
      <c r="AO78" s="1">
        <f t="shared" si="28"/>
        <v>0</v>
      </c>
      <c r="AP78" s="1">
        <f t="shared" si="36"/>
        <v>0</v>
      </c>
      <c r="AQ78" s="1">
        <f t="shared" si="35"/>
        <v>0</v>
      </c>
      <c r="AR78" s="2">
        <v>0</v>
      </c>
      <c r="AS78" s="2">
        <v>0</v>
      </c>
      <c r="AT78" s="2">
        <v>0</v>
      </c>
      <c r="AU78" s="2">
        <v>0</v>
      </c>
      <c r="AV78" s="1">
        <f t="shared" si="37"/>
        <v>0</v>
      </c>
      <c r="AW78" s="1">
        <f t="shared" si="39"/>
        <v>0</v>
      </c>
      <c r="AX78" s="1">
        <f t="shared" si="32"/>
        <v>0</v>
      </c>
      <c r="AY78" s="1">
        <f t="shared" si="33"/>
        <v>0</v>
      </c>
      <c r="AZ78" s="1">
        <f t="shared" si="26"/>
        <v>-0.84498269896193756</v>
      </c>
    </row>
    <row r="79" spans="1:52" x14ac:dyDescent="0.2">
      <c r="A79" s="1">
        <v>78</v>
      </c>
      <c r="B79" s="2" t="s">
        <v>42</v>
      </c>
      <c r="C79" s="2" t="s">
        <v>43</v>
      </c>
      <c r="D79" s="2">
        <v>2025</v>
      </c>
      <c r="E79" s="15" t="s">
        <v>48</v>
      </c>
      <c r="F79" s="2">
        <v>6</v>
      </c>
      <c r="G79" s="18">
        <v>1</v>
      </c>
      <c r="H79" s="17">
        <v>0</v>
      </c>
      <c r="I79" s="18">
        <v>0</v>
      </c>
      <c r="J79" s="18">
        <v>-0.81399999999999995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100</v>
      </c>
      <c r="AJ79" s="3">
        <v>1.2</v>
      </c>
      <c r="AK79" s="2">
        <v>0</v>
      </c>
      <c r="AL79" s="2">
        <v>0</v>
      </c>
      <c r="AM79" s="1">
        <f t="shared" si="38"/>
        <v>0</v>
      </c>
      <c r="AN79" s="1">
        <f t="shared" si="40"/>
        <v>0</v>
      </c>
      <c r="AO79" s="1">
        <f t="shared" si="28"/>
        <v>0</v>
      </c>
      <c r="AP79" s="1">
        <f t="shared" si="36"/>
        <v>0</v>
      </c>
      <c r="AQ79" s="1">
        <f t="shared" si="35"/>
        <v>0</v>
      </c>
      <c r="AR79" s="2">
        <v>0</v>
      </c>
      <c r="AS79" s="2">
        <v>0</v>
      </c>
      <c r="AT79" s="2">
        <v>0</v>
      </c>
      <c r="AU79" s="2">
        <v>0</v>
      </c>
      <c r="AV79" s="1">
        <f t="shared" si="37"/>
        <v>0</v>
      </c>
      <c r="AW79" s="1">
        <f t="shared" si="39"/>
        <v>0</v>
      </c>
      <c r="AX79" s="1">
        <f t="shared" si="32"/>
        <v>0</v>
      </c>
      <c r="AY79" s="1">
        <f t="shared" si="33"/>
        <v>0</v>
      </c>
      <c r="AZ79" s="1">
        <f t="shared" si="26"/>
        <v>-0.84498269896193756</v>
      </c>
    </row>
    <row r="80" spans="1:52" x14ac:dyDescent="0.2">
      <c r="A80" s="1">
        <v>79</v>
      </c>
      <c r="B80" s="2" t="s">
        <v>42</v>
      </c>
      <c r="C80" s="2" t="s">
        <v>43</v>
      </c>
      <c r="D80" s="2">
        <v>2025</v>
      </c>
      <c r="E80" s="15" t="s">
        <v>48</v>
      </c>
      <c r="F80" s="2">
        <v>7</v>
      </c>
      <c r="G80" s="17">
        <v>1.1779999999999999</v>
      </c>
      <c r="H80" s="17">
        <v>0</v>
      </c>
      <c r="I80" s="18">
        <v>0</v>
      </c>
      <c r="J80" s="18">
        <v>-0.81399999999999995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100</v>
      </c>
      <c r="AJ80" s="2">
        <v>0</v>
      </c>
      <c r="AK80" s="2">
        <v>0</v>
      </c>
      <c r="AL80" s="2">
        <v>0</v>
      </c>
      <c r="AM80" s="1">
        <f t="shared" si="38"/>
        <v>0</v>
      </c>
      <c r="AN80" s="1">
        <f t="shared" si="40"/>
        <v>0</v>
      </c>
      <c r="AO80" s="1">
        <f t="shared" si="28"/>
        <v>0</v>
      </c>
      <c r="AP80" s="1">
        <f t="shared" si="36"/>
        <v>0</v>
      </c>
      <c r="AQ80" s="1">
        <f t="shared" si="35"/>
        <v>0</v>
      </c>
      <c r="AR80" s="2">
        <v>0</v>
      </c>
      <c r="AS80" s="2">
        <v>0</v>
      </c>
      <c r="AT80" s="2">
        <v>0</v>
      </c>
      <c r="AU80" s="2">
        <v>0</v>
      </c>
      <c r="AV80" s="1">
        <f t="shared" si="37"/>
        <v>0</v>
      </c>
      <c r="AW80" s="1">
        <f t="shared" si="39"/>
        <v>0</v>
      </c>
      <c r="AX80" s="1">
        <f t="shared" si="32"/>
        <v>0</v>
      </c>
      <c r="AY80" s="1">
        <f t="shared" si="33"/>
        <v>0</v>
      </c>
      <c r="AZ80" s="1">
        <f t="shared" si="26"/>
        <v>-0.84498269896193756</v>
      </c>
    </row>
    <row r="81" spans="1:52" x14ac:dyDescent="0.2">
      <c r="A81" s="1">
        <v>80</v>
      </c>
      <c r="B81" s="2" t="s">
        <v>42</v>
      </c>
      <c r="C81" s="2" t="s">
        <v>43</v>
      </c>
      <c r="D81" s="2">
        <v>2025</v>
      </c>
      <c r="E81" s="15" t="s">
        <v>48</v>
      </c>
      <c r="F81" s="2">
        <v>8</v>
      </c>
      <c r="G81" s="18">
        <v>1</v>
      </c>
      <c r="H81" s="17">
        <v>0</v>
      </c>
      <c r="I81" s="18">
        <v>0</v>
      </c>
      <c r="J81" s="18">
        <v>-0.81399999999999995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100</v>
      </c>
      <c r="AJ81" s="2">
        <v>0</v>
      </c>
      <c r="AK81" s="2">
        <v>0</v>
      </c>
      <c r="AL81" s="2">
        <v>0</v>
      </c>
      <c r="AM81" s="1">
        <f t="shared" si="38"/>
        <v>0</v>
      </c>
      <c r="AN81" s="1">
        <f t="shared" si="40"/>
        <v>0</v>
      </c>
      <c r="AO81" s="1">
        <f t="shared" si="28"/>
        <v>0</v>
      </c>
      <c r="AP81" s="1">
        <f t="shared" si="36"/>
        <v>0</v>
      </c>
      <c r="AQ81" s="1">
        <f t="shared" si="35"/>
        <v>0</v>
      </c>
      <c r="AR81" s="2">
        <v>0</v>
      </c>
      <c r="AS81" s="2">
        <v>0</v>
      </c>
      <c r="AT81" s="2">
        <v>0</v>
      </c>
      <c r="AU81" s="2">
        <v>0</v>
      </c>
      <c r="AV81" s="1">
        <f t="shared" si="37"/>
        <v>0</v>
      </c>
      <c r="AW81" s="1">
        <f t="shared" si="39"/>
        <v>0</v>
      </c>
      <c r="AX81" s="1">
        <f t="shared" si="32"/>
        <v>0</v>
      </c>
      <c r="AY81" s="1">
        <f t="shared" si="33"/>
        <v>0</v>
      </c>
      <c r="AZ81" s="1">
        <f t="shared" si="26"/>
        <v>-0.84498269896193756</v>
      </c>
    </row>
    <row r="82" spans="1:52" x14ac:dyDescent="0.2">
      <c r="A82" s="1">
        <v>81</v>
      </c>
      <c r="B82" s="2" t="s">
        <v>42</v>
      </c>
      <c r="C82" s="2" t="s">
        <v>43</v>
      </c>
      <c r="D82" s="2">
        <v>2025</v>
      </c>
      <c r="E82" s="15" t="s">
        <v>48</v>
      </c>
      <c r="F82" s="2">
        <v>9</v>
      </c>
      <c r="G82" s="18">
        <v>1</v>
      </c>
      <c r="H82" s="17">
        <v>0</v>
      </c>
      <c r="I82" s="18">
        <v>0</v>
      </c>
      <c r="J82" s="18">
        <v>-0.81399999999999995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100</v>
      </c>
      <c r="AJ82" s="2">
        <v>0</v>
      </c>
      <c r="AK82" s="2">
        <v>0</v>
      </c>
      <c r="AL82" s="2">
        <v>0</v>
      </c>
      <c r="AM82" s="1">
        <f t="shared" si="38"/>
        <v>0</v>
      </c>
      <c r="AN82" s="1">
        <f t="shared" si="40"/>
        <v>0</v>
      </c>
      <c r="AO82" s="1">
        <f t="shared" si="28"/>
        <v>0</v>
      </c>
      <c r="AP82" s="1">
        <f t="shared" si="36"/>
        <v>0</v>
      </c>
      <c r="AQ82" s="1">
        <f t="shared" si="35"/>
        <v>0</v>
      </c>
      <c r="AR82" s="2">
        <v>0</v>
      </c>
      <c r="AS82" s="2">
        <v>0</v>
      </c>
      <c r="AT82" s="2">
        <v>0</v>
      </c>
      <c r="AU82" s="2">
        <v>0</v>
      </c>
      <c r="AV82" s="1">
        <f t="shared" si="37"/>
        <v>0</v>
      </c>
      <c r="AW82" s="1">
        <f t="shared" si="39"/>
        <v>0</v>
      </c>
      <c r="AX82" s="1">
        <f t="shared" si="32"/>
        <v>0</v>
      </c>
      <c r="AY82" s="1">
        <f t="shared" si="33"/>
        <v>0</v>
      </c>
      <c r="AZ82" s="1">
        <f t="shared" si="26"/>
        <v>-0.84498269896193756</v>
      </c>
    </row>
    <row r="83" spans="1:52" x14ac:dyDescent="0.2">
      <c r="B83" s="2"/>
      <c r="C83" s="2"/>
      <c r="D83" s="2"/>
      <c r="E83" s="2"/>
      <c r="F83" s="2"/>
      <c r="I83" s="18"/>
      <c r="J83" s="18"/>
      <c r="K83" s="10"/>
      <c r="L83" s="10"/>
      <c r="M83" s="10"/>
      <c r="N83" s="10"/>
      <c r="O83" s="10"/>
      <c r="P83" s="10"/>
      <c r="R83" s="10"/>
      <c r="S83" s="10"/>
      <c r="T83" s="10"/>
      <c r="U83" s="10"/>
      <c r="V83" s="10"/>
      <c r="W83" s="10"/>
      <c r="X83" s="5"/>
      <c r="Y83" s="2"/>
      <c r="Z83" s="2"/>
      <c r="AA83" s="2"/>
      <c r="AB83" s="2"/>
      <c r="AC83" s="2"/>
      <c r="AG83" s="2"/>
      <c r="AH83" s="2"/>
      <c r="AI83" s="2"/>
      <c r="AL83" s="2"/>
    </row>
    <row r="84" spans="1:52" x14ac:dyDescent="0.2">
      <c r="B84" s="2"/>
      <c r="C84" s="2"/>
      <c r="D84" s="2"/>
      <c r="E84" s="2"/>
      <c r="F84" s="2"/>
      <c r="I84" s="18"/>
      <c r="J84" s="18"/>
      <c r="K84" s="10"/>
      <c r="L84" s="10"/>
      <c r="M84" s="10"/>
      <c r="N84" s="10"/>
      <c r="R84" s="10"/>
      <c r="S84" s="10"/>
      <c r="T84" s="10"/>
      <c r="U84" s="10"/>
      <c r="V84" s="10"/>
      <c r="W84" s="10"/>
      <c r="Y84" s="2"/>
      <c r="Z84" s="2"/>
      <c r="AA84" s="2"/>
      <c r="AB84" s="2"/>
      <c r="AC84" s="2"/>
      <c r="AE84" s="8"/>
      <c r="AG84" s="2"/>
      <c r="AH84" s="2"/>
      <c r="AI84" s="2"/>
      <c r="AL84" s="2"/>
    </row>
    <row r="85" spans="1:52" x14ac:dyDescent="0.2">
      <c r="B85" s="2"/>
      <c r="C85" s="2"/>
      <c r="D85" s="2"/>
      <c r="E85" s="2"/>
      <c r="F85" s="2"/>
      <c r="I85" s="18"/>
      <c r="J85" s="18"/>
      <c r="K85" s="10"/>
      <c r="L85" s="10"/>
      <c r="M85" s="10"/>
      <c r="N85" s="10"/>
      <c r="R85" s="10"/>
      <c r="S85" s="10"/>
      <c r="T85" s="10"/>
      <c r="U85" s="10"/>
      <c r="V85" s="10"/>
      <c r="W85" s="10"/>
      <c r="Y85" s="2"/>
      <c r="Z85" s="2"/>
      <c r="AA85" s="2"/>
      <c r="AB85" s="2"/>
      <c r="AC85" s="2"/>
      <c r="AE85" s="8"/>
      <c r="AG85" s="2"/>
      <c r="AH85" s="2"/>
      <c r="AI85" s="2"/>
      <c r="AJ85" s="8"/>
      <c r="AL85" s="2"/>
    </row>
    <row r="86" spans="1:52" x14ac:dyDescent="0.2">
      <c r="B86" s="2"/>
      <c r="C86" s="2"/>
      <c r="D86" s="2"/>
      <c r="E86" s="2"/>
      <c r="F86" s="2"/>
      <c r="I86" s="18"/>
      <c r="J86" s="18"/>
      <c r="K86" s="10"/>
      <c r="L86" s="10"/>
      <c r="M86" s="10"/>
      <c r="N86" s="10"/>
      <c r="R86" s="10"/>
      <c r="S86" s="10"/>
      <c r="T86" s="10"/>
      <c r="U86" s="10"/>
      <c r="V86" s="10"/>
      <c r="W86" s="10"/>
      <c r="Y86" s="2"/>
      <c r="Z86" s="2"/>
      <c r="AA86" s="2"/>
      <c r="AB86" s="2"/>
      <c r="AC86" s="2"/>
      <c r="AE86" s="8"/>
      <c r="AG86" s="2"/>
      <c r="AH86" s="2"/>
      <c r="AI86" s="2"/>
      <c r="AL86" s="2"/>
    </row>
    <row r="87" spans="1:52" x14ac:dyDescent="0.2">
      <c r="B87" s="2"/>
      <c r="C87" s="2"/>
      <c r="D87" s="2"/>
      <c r="E87" s="2"/>
      <c r="F87" s="2"/>
      <c r="I87" s="18"/>
      <c r="J87" s="18"/>
      <c r="K87" s="10"/>
      <c r="L87" s="10"/>
      <c r="M87" s="10"/>
      <c r="N87" s="10"/>
      <c r="R87" s="10"/>
      <c r="S87" s="10"/>
      <c r="T87" s="10"/>
      <c r="U87" s="10"/>
      <c r="V87" s="10"/>
      <c r="W87" s="10"/>
      <c r="Y87" s="2"/>
      <c r="Z87" s="2"/>
      <c r="AA87" s="2"/>
      <c r="AB87" s="2"/>
      <c r="AC87" s="2"/>
      <c r="AG87" s="2"/>
      <c r="AH87" s="2"/>
      <c r="AI87" s="2"/>
      <c r="AJ87" s="5"/>
      <c r="AL87" s="2"/>
    </row>
    <row r="88" spans="1:52" x14ac:dyDescent="0.2">
      <c r="B88" s="2"/>
      <c r="C88" s="2"/>
      <c r="D88" s="2"/>
      <c r="E88" s="2"/>
      <c r="F88" s="2"/>
      <c r="G88" s="19"/>
      <c r="I88" s="18"/>
      <c r="J88" s="18"/>
      <c r="K88" s="10"/>
      <c r="L88" s="10"/>
      <c r="M88" s="10"/>
      <c r="N88" s="10"/>
      <c r="R88" s="10"/>
      <c r="S88" s="10"/>
      <c r="T88" s="10"/>
      <c r="U88" s="10"/>
      <c r="V88" s="10"/>
      <c r="W88" s="10"/>
      <c r="Y88" s="2"/>
      <c r="Z88" s="2"/>
      <c r="AA88" s="2"/>
      <c r="AB88" s="2"/>
      <c r="AC88" s="2"/>
      <c r="AG88" s="2"/>
      <c r="AH88" s="2"/>
      <c r="AI88" s="2"/>
      <c r="AJ88" s="5"/>
      <c r="AL88" s="2"/>
    </row>
    <row r="89" spans="1:52" x14ac:dyDescent="0.2">
      <c r="B89" s="2"/>
      <c r="C89" s="2"/>
      <c r="D89" s="2"/>
      <c r="E89" s="2"/>
      <c r="F89" s="2"/>
      <c r="G89" s="19"/>
      <c r="I89" s="18"/>
      <c r="J89" s="18"/>
      <c r="K89" s="10"/>
      <c r="L89" s="10"/>
      <c r="M89" s="10"/>
      <c r="N89" s="10"/>
      <c r="R89" s="10"/>
      <c r="S89" s="10"/>
      <c r="T89" s="10"/>
      <c r="U89" s="10"/>
      <c r="V89" s="10"/>
      <c r="W89" s="10"/>
      <c r="X89" s="5"/>
      <c r="Y89" s="2"/>
      <c r="Z89" s="2"/>
      <c r="AA89" s="2"/>
      <c r="AB89" s="2"/>
      <c r="AC89" s="2"/>
      <c r="AG89" s="2"/>
      <c r="AH89" s="2"/>
      <c r="AI89" s="2"/>
      <c r="AJ89" s="5"/>
      <c r="AL89" s="2"/>
    </row>
    <row r="90" spans="1:52" x14ac:dyDescent="0.2">
      <c r="B90" s="2"/>
      <c r="C90" s="2"/>
      <c r="D90" s="2"/>
      <c r="E90" s="2"/>
      <c r="F90" s="2"/>
      <c r="G90" s="19"/>
      <c r="I90" s="18"/>
      <c r="J90" s="18"/>
      <c r="K90" s="10"/>
      <c r="L90" s="10"/>
      <c r="M90" s="10"/>
      <c r="N90" s="10"/>
      <c r="R90" s="10"/>
      <c r="S90" s="10"/>
      <c r="T90" s="10"/>
      <c r="U90" s="10"/>
      <c r="V90" s="10"/>
      <c r="W90" s="10"/>
      <c r="X90" s="5"/>
      <c r="Y90" s="2"/>
      <c r="Z90" s="2"/>
      <c r="AA90" s="2"/>
      <c r="AB90" s="2"/>
      <c r="AC90" s="2"/>
      <c r="AG90" s="2"/>
      <c r="AH90" s="2"/>
      <c r="AI90" s="2"/>
      <c r="AL90" s="2"/>
    </row>
    <row r="91" spans="1:52" x14ac:dyDescent="0.2">
      <c r="B91" s="2"/>
      <c r="C91" s="2"/>
      <c r="D91" s="2"/>
      <c r="E91" s="2"/>
      <c r="F91" s="2"/>
      <c r="I91" s="18"/>
      <c r="J91" s="18"/>
      <c r="K91" s="10"/>
      <c r="L91" s="10"/>
      <c r="M91" s="10"/>
      <c r="N91" s="10"/>
      <c r="R91" s="10"/>
      <c r="S91" s="10"/>
      <c r="T91" s="10"/>
      <c r="U91" s="10"/>
      <c r="V91" s="10"/>
      <c r="W91" s="10"/>
      <c r="Y91" s="2"/>
      <c r="Z91" s="2"/>
      <c r="AA91" s="2"/>
      <c r="AB91" s="2"/>
      <c r="AC91" s="2"/>
      <c r="AG91" s="2"/>
      <c r="AH91" s="2"/>
      <c r="AI91" s="2"/>
      <c r="AJ91" s="8"/>
      <c r="AL91" s="2"/>
    </row>
    <row r="92" spans="1:52" x14ac:dyDescent="0.2">
      <c r="B92" s="2"/>
      <c r="C92" s="2"/>
      <c r="D92" s="2"/>
      <c r="E92" s="2"/>
      <c r="F92" s="2"/>
      <c r="G92" s="19"/>
      <c r="I92" s="18"/>
      <c r="J92" s="18"/>
      <c r="K92" s="10"/>
      <c r="L92" s="10"/>
      <c r="M92" s="10"/>
      <c r="N92" s="10"/>
      <c r="U92" s="10"/>
      <c r="V92" s="10"/>
      <c r="W92" s="10"/>
      <c r="Y92" s="2"/>
      <c r="Z92" s="2"/>
      <c r="AA92" s="2"/>
      <c r="AB92" s="2"/>
      <c r="AC92" s="2"/>
      <c r="AE92" s="8"/>
      <c r="AG92" s="2"/>
      <c r="AH92" s="2"/>
      <c r="AI92" s="2"/>
      <c r="AJ92" s="8"/>
      <c r="AL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major_cover_Maldives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 Mei Ting</dc:creator>
  <cp:lastModifiedBy>JoanneLaw MeiTing</cp:lastModifiedBy>
  <dcterms:created xsi:type="dcterms:W3CDTF">2025-04-10T13:21:35Z</dcterms:created>
  <dcterms:modified xsi:type="dcterms:W3CDTF">2025-11-22T14:49:49Z</dcterms:modified>
</cp:coreProperties>
</file>