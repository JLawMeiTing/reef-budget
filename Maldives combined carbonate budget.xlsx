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a45426825b827/NUS PhD Geography/Phd/Reef Budget MALDIVES/Data/Reef budget/"/>
    </mc:Choice>
  </mc:AlternateContent>
  <xr:revisionPtr revIDLastSave="6080" documentId="8_{0D6F4EB0-804B-164E-81C6-3FF97B7D8DD3}" xr6:coauthVersionLast="47" xr6:coauthVersionMax="47" xr10:uidLastSave="{863A76FC-83F5-D041-A2D3-AAFBBE76C3E1}"/>
  <bookViews>
    <workbookView xWindow="14900" yWindow="760" windowWidth="24740" windowHeight="17220" xr2:uid="{47BE0871-09F8-6C4A-AEDA-9C7D7F9D7E97}"/>
  </bookViews>
  <sheets>
    <sheet name="carbonate budget_Maldives" sheetId="1" r:id="rId1"/>
  </sheets>
  <definedNames>
    <definedName name="_xlnm._FilterDatabase" localSheetId="0" hidden="1">'carbonate budget_Maldives'!$A$1:$BM$1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5" i="1" l="1"/>
  <c r="AO55" i="1"/>
  <c r="AP55" i="1" s="1"/>
  <c r="AQ54" i="1"/>
  <c r="AO54" i="1"/>
  <c r="AP54" i="1" s="1"/>
  <c r="AQ53" i="1"/>
  <c r="AP53" i="1"/>
  <c r="AO53" i="1"/>
  <c r="AQ52" i="1"/>
  <c r="AO52" i="1"/>
  <c r="AP52" i="1" s="1"/>
  <c r="AQ51" i="1"/>
  <c r="AO51" i="1"/>
  <c r="AP51" i="1" s="1"/>
  <c r="AQ50" i="1"/>
  <c r="AO50" i="1"/>
  <c r="AP50" i="1" s="1"/>
  <c r="AQ49" i="1"/>
  <c r="AO49" i="1"/>
  <c r="AP49" i="1" s="1"/>
  <c r="AQ48" i="1"/>
  <c r="AO48" i="1"/>
  <c r="AP48" i="1" s="1"/>
  <c r="AQ47" i="1"/>
  <c r="AP47" i="1"/>
  <c r="AO47" i="1"/>
  <c r="AQ46" i="1"/>
  <c r="AO46" i="1"/>
  <c r="AP46" i="1" s="1"/>
  <c r="AQ45" i="1" l="1"/>
  <c r="AO45" i="1"/>
  <c r="AP45" i="1" s="1"/>
  <c r="AQ44" i="1"/>
  <c r="AO44" i="1"/>
  <c r="AP44" i="1" s="1"/>
  <c r="AQ43" i="1"/>
  <c r="AO43" i="1"/>
  <c r="AP43" i="1" s="1"/>
  <c r="AQ42" i="1"/>
  <c r="AO42" i="1"/>
  <c r="AQ41" i="1"/>
  <c r="AO41" i="1"/>
  <c r="AP41" i="1" s="1"/>
  <c r="AQ40" i="1"/>
  <c r="AO40" i="1"/>
  <c r="AP40" i="1" s="1"/>
  <c r="AQ39" i="1"/>
  <c r="AO39" i="1"/>
  <c r="AP39" i="1" s="1"/>
  <c r="AQ38" i="1"/>
  <c r="AO38" i="1"/>
  <c r="AQ37" i="1"/>
  <c r="AO37" i="1"/>
  <c r="AQ36" i="1"/>
  <c r="AO36" i="1"/>
  <c r="AP36" i="1" s="1"/>
  <c r="AP42" i="1" l="1"/>
  <c r="AP37" i="1"/>
  <c r="AP38" i="1"/>
  <c r="U20" i="1"/>
  <c r="U19" i="1"/>
  <c r="U9" i="1"/>
  <c r="U8" i="1"/>
  <c r="U2" i="1"/>
  <c r="AQ3" i="1"/>
  <c r="AQ4" i="1"/>
  <c r="AQ5" i="1"/>
  <c r="AQ6" i="1"/>
  <c r="AQ7" i="1"/>
  <c r="AQ10" i="1"/>
  <c r="AQ11" i="1"/>
  <c r="AQ12" i="1"/>
  <c r="AQ13" i="1"/>
  <c r="AQ14" i="1"/>
  <c r="AQ15" i="1"/>
  <c r="AQ16" i="1"/>
  <c r="AQ17" i="1"/>
  <c r="AQ18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O3" i="1"/>
  <c r="AP3" i="1" l="1"/>
  <c r="AQ19" i="1"/>
  <c r="AQ20" i="1"/>
  <c r="AQ9" i="1"/>
  <c r="AQ8" i="1"/>
  <c r="AQ2" i="1"/>
  <c r="AO56" i="1" l="1"/>
  <c r="AP56" i="1" s="1"/>
  <c r="AO57" i="1"/>
  <c r="AP57" i="1" s="1"/>
  <c r="AO58" i="1"/>
  <c r="AP58" i="1" s="1"/>
  <c r="AO59" i="1"/>
  <c r="AP59" i="1" s="1"/>
  <c r="AO60" i="1"/>
  <c r="AP60" i="1" s="1"/>
  <c r="AO61" i="1"/>
  <c r="AP61" i="1" s="1"/>
  <c r="AO62" i="1"/>
  <c r="AP62" i="1" s="1"/>
  <c r="AO63" i="1"/>
  <c r="AP63" i="1" s="1"/>
  <c r="AO64" i="1"/>
  <c r="AP64" i="1" s="1"/>
  <c r="AO65" i="1"/>
  <c r="AP65" i="1" s="1"/>
  <c r="AO66" i="1"/>
  <c r="AP66" i="1" s="1"/>
  <c r="AO67" i="1"/>
  <c r="AP67" i="1" s="1"/>
  <c r="AO68" i="1"/>
  <c r="AP68" i="1" s="1"/>
  <c r="AO69" i="1"/>
  <c r="AP69" i="1" s="1"/>
  <c r="AO70" i="1"/>
  <c r="AP70" i="1" s="1"/>
  <c r="AO71" i="1"/>
  <c r="AP71" i="1" s="1"/>
  <c r="AO72" i="1"/>
  <c r="AP72" i="1" s="1"/>
  <c r="AO73" i="1"/>
  <c r="AP73" i="1" s="1"/>
  <c r="AO74" i="1"/>
  <c r="AP74" i="1" s="1"/>
  <c r="AO75" i="1"/>
  <c r="AP75" i="1" s="1"/>
  <c r="AO76" i="1"/>
  <c r="AP76" i="1" s="1"/>
  <c r="AO77" i="1"/>
  <c r="AP77" i="1" s="1"/>
  <c r="AO78" i="1"/>
  <c r="AP78" i="1" s="1"/>
  <c r="AO79" i="1"/>
  <c r="AP79" i="1" s="1"/>
  <c r="AO80" i="1"/>
  <c r="AP80" i="1" s="1"/>
  <c r="AO81" i="1"/>
  <c r="AP81" i="1" s="1"/>
  <c r="AO82" i="1"/>
  <c r="AP82" i="1" s="1"/>
  <c r="AO4" i="1"/>
  <c r="AP4" i="1" s="1"/>
  <c r="AO5" i="1"/>
  <c r="AP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2" i="1"/>
  <c r="AP2" i="1" s="1"/>
</calcChain>
</file>

<file path=xl/sharedStrings.xml><?xml version="1.0" encoding="utf-8"?>
<sst xmlns="http://schemas.openxmlformats.org/spreadsheetml/2006/main" count="459" uniqueCount="224">
  <si>
    <t>Date</t>
  </si>
  <si>
    <t>Country</t>
  </si>
  <si>
    <t>Zone</t>
  </si>
  <si>
    <t>Lat</t>
  </si>
  <si>
    <t>Long</t>
  </si>
  <si>
    <t>Transect</t>
  </si>
  <si>
    <t>carbonate prod_mean</t>
  </si>
  <si>
    <t>carbonate prod_l95</t>
  </si>
  <si>
    <t>carbonate prod_u95</t>
  </si>
  <si>
    <t>macrobioerosion_mean</t>
  </si>
  <si>
    <t>hcprod_l95</t>
  </si>
  <si>
    <t>hcprod_u95</t>
  </si>
  <si>
    <t>transect length</t>
  </si>
  <si>
    <t>rugosity</t>
  </si>
  <si>
    <t>microbioerosion_mean</t>
  </si>
  <si>
    <t>ccaprod_mean</t>
  </si>
  <si>
    <t>ccaprod_l95</t>
  </si>
  <si>
    <t>ccaprod_u95</t>
  </si>
  <si>
    <t>eros_urchin</t>
  </si>
  <si>
    <t>Balance_mean</t>
  </si>
  <si>
    <t>Balance_l95</t>
  </si>
  <si>
    <t>Balance_u95</t>
  </si>
  <si>
    <t>cca_cover</t>
  </si>
  <si>
    <t>sed_cover</t>
  </si>
  <si>
    <t>soft_cover</t>
  </si>
  <si>
    <t>turf_cover</t>
  </si>
  <si>
    <t>rub_cover</t>
  </si>
  <si>
    <t>rock_cover</t>
  </si>
  <si>
    <t>limespav_cover</t>
  </si>
  <si>
    <t>coral_genera_num</t>
  </si>
  <si>
    <t>gnet</t>
  </si>
  <si>
    <t>cprod_poc</t>
  </si>
  <si>
    <t>cprod_obc</t>
  </si>
  <si>
    <t>cprod_mp</t>
  </si>
  <si>
    <t>cprod_ba</t>
  </si>
  <si>
    <t>cprod_da</t>
  </si>
  <si>
    <t>cprod_ta</t>
  </si>
  <si>
    <t>cprod_bp</t>
  </si>
  <si>
    <t>cprod_om</t>
  </si>
  <si>
    <t>cprod_ep</t>
  </si>
  <si>
    <t>cprod_oe</t>
  </si>
  <si>
    <t>cprod_fc</t>
  </si>
  <si>
    <t>cprod_m</t>
  </si>
  <si>
    <t>cprod_other</t>
  </si>
  <si>
    <t>cover_comp</t>
  </si>
  <si>
    <t>cover_weed</t>
  </si>
  <si>
    <t>cover_gen</t>
  </si>
  <si>
    <t>cover_stress</t>
  </si>
  <si>
    <t>Maldives</t>
  </si>
  <si>
    <t>Site</t>
  </si>
  <si>
    <t>CA</t>
  </si>
  <si>
    <t>0° 12'01.807"N</t>
  </si>
  <si>
    <t>0° 12'01.554"N</t>
  </si>
  <si>
    <t>73° 10'46.449"E</t>
  </si>
  <si>
    <t>73° 10'46.065"E</t>
  </si>
  <si>
    <t>0° 12'01.231"N</t>
  </si>
  <si>
    <t>73° 10'47.061"E</t>
  </si>
  <si>
    <t>0° 12'12.128"N</t>
  </si>
  <si>
    <t>73° 10'32.903"E</t>
  </si>
  <si>
    <t>0° 12'12.075"N</t>
  </si>
  <si>
    <t>73° 10'32.801"E</t>
  </si>
  <si>
    <t>hcprod_mean</t>
  </si>
  <si>
    <t>hcoral_cover</t>
  </si>
  <si>
    <t>mt_cover</t>
  </si>
  <si>
    <t>cprod_comp</t>
  </si>
  <si>
    <t>cprod_weed</t>
  </si>
  <si>
    <t>cprod_gen</t>
  </si>
  <si>
    <t>cprod_stress</t>
  </si>
  <si>
    <t>0° 12'07.573"N</t>
  </si>
  <si>
    <t>73° 10'39.237"E</t>
  </si>
  <si>
    <t>0° 12'07.400"N</t>
  </si>
  <si>
    <t>73° 10'39.743"E</t>
  </si>
  <si>
    <t>0° 12'07.637"N</t>
  </si>
  <si>
    <t>73° 10'39.737"E</t>
  </si>
  <si>
    <t>0° 12'08.274"N</t>
  </si>
  <si>
    <t>73° 10'40.237"E</t>
  </si>
  <si>
    <t>0° 12'08.107"N</t>
  </si>
  <si>
    <t>73° 10'40.317"E</t>
  </si>
  <si>
    <t>0° 12'08.741"N</t>
  </si>
  <si>
    <t>73° 10'38.936"E</t>
  </si>
  <si>
    <t>0° 12'12.269"N</t>
  </si>
  <si>
    <t>73° 10'32.982"E</t>
  </si>
  <si>
    <t>73° 10'41.918"E</t>
  </si>
  <si>
    <t>0° 12'05.991"N</t>
  </si>
  <si>
    <t>0° 12'06.186"N</t>
  </si>
  <si>
    <t xml:space="preserve"> 73° 10'41.574"E</t>
  </si>
  <si>
    <t>0° 12'03.612"N</t>
  </si>
  <si>
    <t xml:space="preserve"> 73° 10'47.216"E</t>
  </si>
  <si>
    <t>0° 12'03.675"N</t>
  </si>
  <si>
    <t>73° 10'47.265"E</t>
  </si>
  <si>
    <t>0° 12'03.859"N</t>
  </si>
  <si>
    <t>73° 10'46.857"E</t>
  </si>
  <si>
    <t>0° 12'12.898"N</t>
  </si>
  <si>
    <t>73° 10'33.965"E</t>
  </si>
  <si>
    <t xml:space="preserve"> 0° 12'13.050"N</t>
  </si>
  <si>
    <t>73° 10'34.082"E</t>
  </si>
  <si>
    <t xml:space="preserve"> 0° 12'13.115"N</t>
  </si>
  <si>
    <t>73° 10'34.199"E</t>
  </si>
  <si>
    <t>0° 12'06.879"N</t>
  </si>
  <si>
    <t>73° 10'43.115"E</t>
  </si>
  <si>
    <t>0° 12'09.206"N</t>
  </si>
  <si>
    <t>73° 10'51.843"E</t>
  </si>
  <si>
    <t>0° 12'09.397"N</t>
  </si>
  <si>
    <t>73° 10'51.397"E</t>
  </si>
  <si>
    <t>0° 12'09.965"N</t>
  </si>
  <si>
    <t>73° 10'51.839"E</t>
  </si>
  <si>
    <t>0° 12'10.709"N</t>
  </si>
  <si>
    <t>73° 10'52.278"E</t>
  </si>
  <si>
    <t>0° 12'11.079"N</t>
  </si>
  <si>
    <t xml:space="preserve"> 73° 10'52.408"E </t>
  </si>
  <si>
    <t>0° 12'11.216"N</t>
  </si>
  <si>
    <t>73° 10'52.449"E</t>
  </si>
  <si>
    <t>0° 12'10.077"N</t>
  </si>
  <si>
    <t>73° 10'50.868"E</t>
  </si>
  <si>
    <t>0° 12'09.984"N</t>
  </si>
  <si>
    <t xml:space="preserve"> 73° 10'50.537"E</t>
  </si>
  <si>
    <t>0° 12'09.550"N</t>
  </si>
  <si>
    <t xml:space="preserve">73° 10'50.294"E </t>
  </si>
  <si>
    <t>0° 12'10.139"N</t>
  </si>
  <si>
    <t>73° 10'50.898"E</t>
  </si>
  <si>
    <t>0° 12'09.571"N</t>
  </si>
  <si>
    <t>73° 10'41.215"E</t>
  </si>
  <si>
    <t>0° 12'10.770"N</t>
  </si>
  <si>
    <t>73° 10'46.713"E</t>
  </si>
  <si>
    <t>0° 12'10.287"N</t>
  </si>
  <si>
    <t>73° 10'47.065"E</t>
  </si>
  <si>
    <t>0° 12'10.101"N</t>
  </si>
  <si>
    <t>73° 10'47.177"E</t>
  </si>
  <si>
    <t>0° 12'14.211"N</t>
  </si>
  <si>
    <t>73° 10'34.675"E</t>
  </si>
  <si>
    <t>0° 12'14.751"N</t>
  </si>
  <si>
    <t>73° 10'34.934"E</t>
  </si>
  <si>
    <t>0° 12'15.134"N</t>
  </si>
  <si>
    <t xml:space="preserve"> 73° 10'35.024"E</t>
  </si>
  <si>
    <t>0° 12'12.474"N</t>
  </si>
  <si>
    <t>73° 10'50.662"E</t>
  </si>
  <si>
    <t>0° 12'12.096"N</t>
  </si>
  <si>
    <t>73° 10'50.372"E</t>
  </si>
  <si>
    <t>0° 12'11.652"N</t>
  </si>
  <si>
    <t xml:space="preserve"> 73° 10'50.013"E</t>
  </si>
  <si>
    <t>0° 12'10.827"N</t>
  </si>
  <si>
    <t>73° 10'43.752"E</t>
  </si>
  <si>
    <t>0° 12'11.070"N</t>
  </si>
  <si>
    <t>73° 10'44.215"E</t>
  </si>
  <si>
    <t>0° 12'10.684"N</t>
  </si>
  <si>
    <t>73° 10'43.595"E</t>
  </si>
  <si>
    <t xml:space="preserve">73° 10'38.814"E </t>
  </si>
  <si>
    <t>0° 12'14.579"N</t>
  </si>
  <si>
    <t>73° 10'39.116"E</t>
  </si>
  <si>
    <t>0° 12'14.910"N</t>
  </si>
  <si>
    <t>73° 10'39.345"E</t>
  </si>
  <si>
    <t>0° 12'13.963"N</t>
  </si>
  <si>
    <t>73° 10'50.659"E</t>
  </si>
  <si>
    <t>0° 12'13.887"N</t>
  </si>
  <si>
    <t xml:space="preserve">73° 10'50.710"E </t>
  </si>
  <si>
    <t>0° 12'13.171"N</t>
  </si>
  <si>
    <t>73° 10'49.814"E</t>
  </si>
  <si>
    <t>0° 12'16.398"N</t>
  </si>
  <si>
    <t>73° 10'37.626"E</t>
  </si>
  <si>
    <t>0° 12'16.367"N</t>
  </si>
  <si>
    <t>73° 10'37.501"E</t>
  </si>
  <si>
    <t>0° 12'16.723"N</t>
  </si>
  <si>
    <t>73° 10'37.672"E</t>
  </si>
  <si>
    <t>0° 12'08.038"N</t>
  </si>
  <si>
    <t xml:space="preserve"> 73° 10'51.704"E</t>
  </si>
  <si>
    <t>0° 12'08.368"N</t>
  </si>
  <si>
    <t>73° 10'51.581"E</t>
  </si>
  <si>
    <t>0° 12'07.974"N</t>
  </si>
  <si>
    <t>73° 10'50.913"E</t>
  </si>
  <si>
    <t>0° 12'10.873"N</t>
  </si>
  <si>
    <t xml:space="preserve"> 73° 10'41.368"E</t>
  </si>
  <si>
    <t>0° 12'11.148"N</t>
  </si>
  <si>
    <t xml:space="preserve"> 73° 10'41.434"E</t>
  </si>
  <si>
    <t>0° 12'09.931"N</t>
  </si>
  <si>
    <t>73° 10'41.100"E</t>
  </si>
  <si>
    <t>0° 12'12.767"N</t>
  </si>
  <si>
    <t>73° 10'39.468"E</t>
  </si>
  <si>
    <t>0° 12'12.944"N</t>
  </si>
  <si>
    <t>73° 10'39.719"E</t>
  </si>
  <si>
    <t>0° 12'12.102"N</t>
  </si>
  <si>
    <t>73° 10'38.400"E</t>
  </si>
  <si>
    <t>0° 12'12.120"N</t>
  </si>
  <si>
    <t>73° 10'39.079"E</t>
  </si>
  <si>
    <t>0° 12'12.426"N</t>
  </si>
  <si>
    <t>73° 10'37.649"E</t>
  </si>
  <si>
    <t>0° 12'11.782"N</t>
  </si>
  <si>
    <t>73° 10'37.553"E</t>
  </si>
  <si>
    <t>0° 12'12.045"N</t>
  </si>
  <si>
    <t>73° 10'38.875"E</t>
  </si>
  <si>
    <t>eros_parrotfish</t>
  </si>
  <si>
    <t>Keliaihutta</t>
  </si>
  <si>
    <t>oth_cover</t>
  </si>
  <si>
    <t>gross_cprod</t>
  </si>
  <si>
    <t>eros_gross</t>
  </si>
  <si>
    <t>Rub</t>
  </si>
  <si>
    <t>Sgrass</t>
  </si>
  <si>
    <t>Pav</t>
  </si>
  <si>
    <t>halimeda_cover</t>
  </si>
  <si>
    <t>CCA</t>
  </si>
  <si>
    <t>CS</t>
  </si>
  <si>
    <t>CR</t>
  </si>
  <si>
    <t>dc_cover</t>
  </si>
  <si>
    <t>sg_cover</t>
  </si>
  <si>
    <t>sand_cover</t>
  </si>
  <si>
    <t>0° 12'09.520"N</t>
  </si>
  <si>
    <t>73° 10'47.331"E</t>
  </si>
  <si>
    <t>0° 12'09.467"N</t>
  </si>
  <si>
    <t>0° 12'10.248"N</t>
  </si>
  <si>
    <t>0° 12'18.306"N</t>
  </si>
  <si>
    <t>0° 12'18.900"N</t>
  </si>
  <si>
    <t>0° 12'19.126"N</t>
  </si>
  <si>
    <t>73° 10'47.001"E</t>
  </si>
  <si>
    <t>73° 10'47.409"E</t>
  </si>
  <si>
    <t>73° 10'40.096"E</t>
  </si>
  <si>
    <t>73° 10'39.562"E</t>
  </si>
  <si>
    <t>73° 10'39.540"E</t>
  </si>
  <si>
    <t>0° 12'10.444"N</t>
  </si>
  <si>
    <t>0° 12'10.205"N</t>
  </si>
  <si>
    <t>0° 12'10.008"N</t>
  </si>
  <si>
    <t>0° 12'07.766"N</t>
  </si>
  <si>
    <t>73° 10'46.979"E</t>
  </si>
  <si>
    <t>73° 10'46.987"E</t>
  </si>
  <si>
    <t>73° 10'47.222"E</t>
  </si>
  <si>
    <t>73° 10'46.335"E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</si>
</sst>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B0C9"/>
        <bgColor indexed="64"/>
      </patternFill>
    </fill>
    <fill>
      <patternFill patternType="solid">
        <fgColor rgb="FFFFAEA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0D61"/>
        <bgColor indexed="64"/>
      </patternFill>
    </fill>
    <fill>
      <patternFill patternType="solid">
        <fgColor rgb="FFFC98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5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/>
    <xf numFmtId="165" fontId="1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98FB"/>
      <color rgb="FFEF0D61"/>
      <color rgb="FFFF0063"/>
      <color rgb="FFCF9500"/>
      <color rgb="FFFAE0BA"/>
      <color rgb="FFFFAE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D98D-6A81-344A-8DAC-2A60C2C66692}">
  <dimension ref="A1:BM92"/>
  <sheetViews>
    <sheetView tabSelected="1" workbookViewId="0">
      <pane xSplit="8" ySplit="21" topLeftCell="I22" activePane="bottomRight" state="frozen"/>
      <selection pane="topRight" activeCell="I1" sqref="I1"/>
      <selection pane="bottomLeft" activeCell="A22" sqref="A22"/>
      <selection pane="bottomRight" activeCell="E46" sqref="E46"/>
    </sheetView>
  </sheetViews>
  <sheetFormatPr baseColWidth="10" defaultRowHeight="15" x14ac:dyDescent="0.2"/>
  <cols>
    <col min="1" max="1" width="10.6640625" style="1" customWidth="1"/>
    <col min="2" max="2" width="10.83203125" style="1"/>
    <col min="3" max="3" width="16" style="1" customWidth="1"/>
    <col min="4" max="4" width="11.83203125" style="1" customWidth="1"/>
    <col min="5" max="5" width="13.83203125" style="1" customWidth="1"/>
    <col min="6" max="6" width="16.1640625" style="1" customWidth="1"/>
    <col min="7" max="7" width="10.83203125" style="1"/>
    <col min="8" max="8" width="21.1640625" style="1" customWidth="1"/>
    <col min="9" max="9" width="20.1640625" style="1" customWidth="1"/>
    <col min="10" max="10" width="17.33203125" style="1" customWidth="1"/>
    <col min="11" max="11" width="22.83203125" style="1" customWidth="1"/>
    <col min="12" max="12" width="23.83203125" style="1" customWidth="1"/>
    <col min="13" max="13" width="10.83203125" style="1"/>
    <col min="14" max="15" width="14.1640625" style="1" customWidth="1"/>
    <col min="16" max="17" width="10.83203125" style="1"/>
    <col min="18" max="18" width="13.5" style="1" customWidth="1"/>
    <col min="19" max="20" width="10.83203125" style="1"/>
    <col min="21" max="21" width="13.6640625" style="1" bestFit="1" customWidth="1"/>
    <col min="22" max="22" width="14.1640625" style="1" customWidth="1"/>
    <col min="23" max="23" width="14.5" style="1" customWidth="1"/>
    <col min="24" max="24" width="14" style="1" customWidth="1"/>
    <col min="25" max="25" width="17.1640625" style="1" customWidth="1"/>
    <col min="26" max="33" width="10.83203125" style="1"/>
    <col min="34" max="34" width="13.33203125" style="1" customWidth="1"/>
    <col min="35" max="35" width="15" style="14" customWidth="1"/>
    <col min="36" max="36" width="10.1640625" style="14" customWidth="1"/>
    <col min="37" max="37" width="12.1640625" style="1" customWidth="1"/>
    <col min="38" max="38" width="10.83203125" style="1"/>
    <col min="39" max="39" width="18.33203125" style="1" customWidth="1"/>
    <col min="40" max="41" width="15.83203125" style="1" customWidth="1"/>
    <col min="42" max="42" width="10.83203125" style="1"/>
    <col min="43" max="43" width="13.5" style="1" customWidth="1"/>
    <col min="44" max="44" width="11.6640625" style="1" customWidth="1"/>
    <col min="45" max="45" width="13.5" style="1" customWidth="1"/>
    <col min="46" max="46" width="11.6640625" style="1" customWidth="1"/>
    <col min="47" max="47" width="10.83203125" style="1" customWidth="1"/>
    <col min="48" max="48" width="12.33203125" style="1" customWidth="1"/>
    <col min="49" max="57" width="10.83203125" style="1"/>
    <col min="58" max="58" width="13" style="1" customWidth="1"/>
    <col min="59" max="59" width="10.1640625" style="1" customWidth="1"/>
    <col min="60" max="60" width="18.33203125" style="1" customWidth="1"/>
    <col min="61" max="16384" width="10.83203125" style="1"/>
  </cols>
  <sheetData>
    <row r="1" spans="1:65" x14ac:dyDescent="0.2">
      <c r="A1" s="1" t="s">
        <v>0</v>
      </c>
      <c r="B1" s="1" t="s">
        <v>1</v>
      </c>
      <c r="C1" s="1" t="s">
        <v>49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14</v>
      </c>
      <c r="M1" s="1" t="s">
        <v>13</v>
      </c>
      <c r="N1" s="1" t="s">
        <v>12</v>
      </c>
      <c r="O1" s="1" t="s">
        <v>61</v>
      </c>
      <c r="P1" s="1" t="s">
        <v>10</v>
      </c>
      <c r="Q1" s="1" t="s">
        <v>11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62</v>
      </c>
      <c r="Z1" s="1" t="s">
        <v>22</v>
      </c>
      <c r="AA1" s="1" t="s">
        <v>23</v>
      </c>
      <c r="AB1" s="1" t="s">
        <v>24</v>
      </c>
      <c r="AC1" s="1" t="s">
        <v>63</v>
      </c>
      <c r="AD1" s="1" t="s">
        <v>25</v>
      </c>
      <c r="AE1" s="1" t="s">
        <v>26</v>
      </c>
      <c r="AF1" s="1" t="s">
        <v>201</v>
      </c>
      <c r="AG1" s="1" t="s">
        <v>27</v>
      </c>
      <c r="AH1" s="1" t="s">
        <v>28</v>
      </c>
      <c r="AI1" s="14" t="s">
        <v>197</v>
      </c>
      <c r="AJ1" s="14" t="s">
        <v>202</v>
      </c>
      <c r="AK1" s="1" t="s">
        <v>203</v>
      </c>
      <c r="AL1" s="1" t="s">
        <v>191</v>
      </c>
      <c r="AM1" s="1" t="s">
        <v>29</v>
      </c>
      <c r="AN1" s="1" t="s">
        <v>189</v>
      </c>
      <c r="AO1" s="1" t="s">
        <v>192</v>
      </c>
      <c r="AP1" s="2" t="s">
        <v>30</v>
      </c>
      <c r="AQ1" s="1" t="s">
        <v>193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31</v>
      </c>
      <c r="AW1" s="1" t="s">
        <v>32</v>
      </c>
      <c r="AX1" s="3" t="s">
        <v>33</v>
      </c>
      <c r="AY1" s="1" t="s">
        <v>38</v>
      </c>
      <c r="AZ1" s="3" t="s">
        <v>39</v>
      </c>
      <c r="BA1" s="1" t="s">
        <v>40</v>
      </c>
      <c r="BB1" s="3" t="s">
        <v>41</v>
      </c>
      <c r="BC1" s="3" t="s">
        <v>42</v>
      </c>
      <c r="BD1" s="3" t="s">
        <v>43</v>
      </c>
      <c r="BE1" s="3" t="s">
        <v>44</v>
      </c>
      <c r="BF1" s="3" t="s">
        <v>45</v>
      </c>
      <c r="BG1" s="3" t="s">
        <v>46</v>
      </c>
      <c r="BH1" s="3" t="s">
        <v>47</v>
      </c>
      <c r="BI1" s="3" t="s">
        <v>64</v>
      </c>
      <c r="BJ1" s="3" t="s">
        <v>65</v>
      </c>
      <c r="BK1" s="3" t="s">
        <v>66</v>
      </c>
      <c r="BL1" s="3" t="s">
        <v>67</v>
      </c>
      <c r="BM1" s="3"/>
    </row>
    <row r="2" spans="1:65" x14ac:dyDescent="0.2">
      <c r="A2" s="4">
        <v>45721</v>
      </c>
      <c r="B2" s="1" t="s">
        <v>48</v>
      </c>
      <c r="C2" s="1" t="s">
        <v>190</v>
      </c>
      <c r="D2" s="5" t="s">
        <v>50</v>
      </c>
      <c r="E2" s="1" t="s">
        <v>51</v>
      </c>
      <c r="F2" s="1" t="s">
        <v>54</v>
      </c>
      <c r="G2" s="1">
        <v>1</v>
      </c>
      <c r="H2" s="1">
        <v>0.70899999999999996</v>
      </c>
      <c r="I2" s="1">
        <v>0.42899999999999999</v>
      </c>
      <c r="J2" s="1">
        <v>1.0329999999999999</v>
      </c>
      <c r="K2" s="1">
        <v>8.1000000000000003E-2</v>
      </c>
      <c r="L2" s="1">
        <v>2.3E-2</v>
      </c>
      <c r="M2" s="1">
        <v>1.1819999999999999</v>
      </c>
      <c r="N2" s="1">
        <v>10</v>
      </c>
      <c r="O2" s="1">
        <v>0.53800000000000003</v>
      </c>
      <c r="P2" s="6">
        <v>0.33</v>
      </c>
      <c r="Q2" s="6">
        <v>0.78800000000000003</v>
      </c>
      <c r="R2" s="6">
        <v>0.17199999999999999</v>
      </c>
      <c r="S2" s="1">
        <v>9.8000000000000004E-2</v>
      </c>
      <c r="T2" s="1">
        <v>0.245</v>
      </c>
      <c r="U2" s="6">
        <f>(((0.0029*85^1.6624)*1)*365)/1000</f>
        <v>1.7066988052380105</v>
      </c>
      <c r="V2" s="1">
        <v>0.60399999999999998</v>
      </c>
      <c r="W2" s="1">
        <v>0.32400000000000001</v>
      </c>
      <c r="X2" s="1">
        <v>0.92800000000000005</v>
      </c>
      <c r="Y2" s="1">
        <v>19.88</v>
      </c>
      <c r="Z2" s="1">
        <v>35.96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10.58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33.590000000000003</v>
      </c>
      <c r="AM2" s="1">
        <v>4</v>
      </c>
      <c r="AN2" s="1">
        <v>0</v>
      </c>
      <c r="AO2" s="6">
        <f t="shared" ref="AO2:AO35" si="0">O2+R2</f>
        <v>0.71</v>
      </c>
      <c r="AP2" s="7">
        <f>(AO2)-(AQ2)</f>
        <v>-1.1006988052380107</v>
      </c>
      <c r="AQ2" s="6">
        <f t="shared" ref="AQ2:AQ35" si="1">(K2+L2+U2+AN2)</f>
        <v>1.8106988052380106</v>
      </c>
      <c r="AR2" s="1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8">
        <v>0</v>
      </c>
      <c r="AY2" s="1">
        <v>0</v>
      </c>
      <c r="AZ2" s="1">
        <v>0.15</v>
      </c>
      <c r="BA2" s="1">
        <v>0.39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100</v>
      </c>
      <c r="BI2" s="11">
        <v>0</v>
      </c>
      <c r="BJ2" s="1">
        <v>0</v>
      </c>
      <c r="BK2" s="1">
        <v>0</v>
      </c>
      <c r="BL2" s="1">
        <v>0.54</v>
      </c>
    </row>
    <row r="3" spans="1:65" x14ac:dyDescent="0.2">
      <c r="A3" s="4">
        <v>45721</v>
      </c>
      <c r="B3" s="1" t="s">
        <v>48</v>
      </c>
      <c r="C3" s="1" t="s">
        <v>190</v>
      </c>
      <c r="D3" s="5" t="s">
        <v>50</v>
      </c>
      <c r="E3" s="1" t="s">
        <v>52</v>
      </c>
      <c r="F3" s="1" t="s">
        <v>53</v>
      </c>
      <c r="G3" s="1">
        <v>2</v>
      </c>
      <c r="H3" s="1">
        <v>0.51300000000000001</v>
      </c>
      <c r="I3" s="1">
        <v>0.28599999999999998</v>
      </c>
      <c r="J3" s="1">
        <v>0.76100000000000001</v>
      </c>
      <c r="K3" s="1">
        <v>8.7999999999999995E-2</v>
      </c>
      <c r="L3" s="1">
        <v>1E-3</v>
      </c>
      <c r="M3" s="6">
        <v>1.1200000000000001</v>
      </c>
      <c r="N3" s="1">
        <v>10</v>
      </c>
      <c r="O3" s="1">
        <v>0.187</v>
      </c>
      <c r="P3" s="1">
        <v>9.8000000000000004E-2</v>
      </c>
      <c r="Q3" s="1">
        <v>0.29499999999999998</v>
      </c>
      <c r="R3" s="1">
        <v>0.32700000000000001</v>
      </c>
      <c r="S3" s="6">
        <v>0.187</v>
      </c>
      <c r="T3" s="1">
        <v>0.46600000000000003</v>
      </c>
      <c r="U3" s="1">
        <v>0</v>
      </c>
      <c r="V3" s="1">
        <v>0.42399999999999999</v>
      </c>
      <c r="W3" s="1">
        <v>0.19600000000000001</v>
      </c>
      <c r="X3" s="6">
        <v>0.67100000000000004</v>
      </c>
      <c r="Y3" s="1">
        <v>6.88</v>
      </c>
      <c r="Z3" s="1">
        <v>72.23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0.63</v>
      </c>
      <c r="AG3" s="1">
        <v>0</v>
      </c>
      <c r="AH3" s="1">
        <v>0</v>
      </c>
      <c r="AI3" s="1">
        <v>0</v>
      </c>
      <c r="AJ3" s="1">
        <v>0</v>
      </c>
      <c r="AK3" s="1">
        <v>1.25</v>
      </c>
      <c r="AL3" s="1">
        <v>19.02</v>
      </c>
      <c r="AM3" s="1">
        <v>2</v>
      </c>
      <c r="AN3" s="1">
        <v>0</v>
      </c>
      <c r="AO3" s="6">
        <f t="shared" si="0"/>
        <v>0.51400000000000001</v>
      </c>
      <c r="AP3" s="7">
        <f t="shared" ref="AP3:AP66" si="2">(AO3)-(AQ3)</f>
        <v>0.42500000000000004</v>
      </c>
      <c r="AQ3" s="6">
        <f t="shared" si="1"/>
        <v>8.8999999999999996E-2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0.19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100</v>
      </c>
      <c r="BI3" s="1">
        <v>0</v>
      </c>
      <c r="BJ3" s="1">
        <v>0</v>
      </c>
      <c r="BK3" s="1">
        <v>0</v>
      </c>
      <c r="BL3" s="1">
        <v>0.19</v>
      </c>
    </row>
    <row r="4" spans="1:65" x14ac:dyDescent="0.2">
      <c r="A4" s="4">
        <v>45721</v>
      </c>
      <c r="B4" s="1" t="s">
        <v>48</v>
      </c>
      <c r="C4" s="1" t="s">
        <v>190</v>
      </c>
      <c r="D4" s="5" t="s">
        <v>50</v>
      </c>
      <c r="E4" s="1" t="s">
        <v>55</v>
      </c>
      <c r="F4" s="1" t="s">
        <v>56</v>
      </c>
      <c r="G4" s="1">
        <v>3</v>
      </c>
      <c r="H4" s="1">
        <v>0.88300000000000001</v>
      </c>
      <c r="I4" s="1">
        <v>0.58899999999999997</v>
      </c>
      <c r="J4" s="1">
        <v>1.2030000000000001</v>
      </c>
      <c r="K4" s="1">
        <v>7.9000000000000001E-2</v>
      </c>
      <c r="L4" s="1">
        <v>2.1999999999999999E-2</v>
      </c>
      <c r="M4" s="1">
        <v>1.173</v>
      </c>
      <c r="N4" s="1">
        <v>10</v>
      </c>
      <c r="O4" s="1">
        <v>0.56599999999999995</v>
      </c>
      <c r="P4" s="1">
        <v>0.58899999999999997</v>
      </c>
      <c r="Q4" s="1">
        <v>0.752</v>
      </c>
      <c r="R4" s="1">
        <v>0.316</v>
      </c>
      <c r="S4" s="1">
        <v>0</v>
      </c>
      <c r="T4" s="1">
        <v>0.45100000000000001</v>
      </c>
      <c r="U4" s="1">
        <v>0</v>
      </c>
      <c r="V4" s="1">
        <v>0.78200000000000003</v>
      </c>
      <c r="W4" s="1">
        <v>0.48799999999999999</v>
      </c>
      <c r="X4" s="6">
        <v>1.1020000000000001</v>
      </c>
      <c r="Y4" s="1">
        <v>3.07</v>
      </c>
      <c r="Z4" s="1">
        <v>66.84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9.89</v>
      </c>
      <c r="AG4" s="1">
        <v>0</v>
      </c>
      <c r="AH4" s="1">
        <v>0</v>
      </c>
      <c r="AI4" s="1">
        <v>0</v>
      </c>
      <c r="AJ4" s="1">
        <v>0</v>
      </c>
      <c r="AK4" s="1">
        <v>19.010000000000002</v>
      </c>
      <c r="AL4" s="6">
        <v>1.19</v>
      </c>
      <c r="AM4" s="1">
        <v>2</v>
      </c>
      <c r="AN4" s="1">
        <v>0</v>
      </c>
      <c r="AO4" s="6">
        <f t="shared" si="0"/>
        <v>0.8819999999999999</v>
      </c>
      <c r="AP4" s="7">
        <f t="shared" si="2"/>
        <v>0.78099999999999992</v>
      </c>
      <c r="AQ4" s="6">
        <f t="shared" si="1"/>
        <v>0.10100000000000001</v>
      </c>
      <c r="AR4" s="1">
        <v>0</v>
      </c>
      <c r="AS4" s="1">
        <v>0</v>
      </c>
      <c r="AT4" s="1">
        <v>0</v>
      </c>
      <c r="AU4" s="1">
        <v>0</v>
      </c>
      <c r="AV4" s="1">
        <v>0.56999999999999995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100</v>
      </c>
      <c r="BF4" s="1">
        <v>0</v>
      </c>
      <c r="BG4" s="1">
        <v>0</v>
      </c>
      <c r="BH4" s="1">
        <v>0</v>
      </c>
      <c r="BI4" s="1">
        <v>0.56999999999999995</v>
      </c>
      <c r="BJ4" s="1">
        <v>0</v>
      </c>
      <c r="BK4" s="1">
        <v>0</v>
      </c>
      <c r="BL4" s="1">
        <v>0</v>
      </c>
    </row>
    <row r="5" spans="1:65" x14ac:dyDescent="0.2">
      <c r="A5" s="4">
        <v>45731</v>
      </c>
      <c r="B5" s="1" t="s">
        <v>48</v>
      </c>
      <c r="C5" s="1" t="s">
        <v>190</v>
      </c>
      <c r="D5" s="5" t="s">
        <v>50</v>
      </c>
      <c r="E5" s="1" t="s">
        <v>57</v>
      </c>
      <c r="F5" s="1" t="s">
        <v>58</v>
      </c>
      <c r="G5" s="1">
        <v>4</v>
      </c>
      <c r="H5" s="6">
        <v>1.41</v>
      </c>
      <c r="I5" s="1">
        <v>0.93100000000000005</v>
      </c>
      <c r="J5" s="6">
        <v>1.95</v>
      </c>
      <c r="K5" s="6">
        <v>7.6999999999999999E-2</v>
      </c>
      <c r="L5" s="1">
        <v>0</v>
      </c>
      <c r="M5" s="1">
        <v>1.0940000000000001</v>
      </c>
      <c r="N5" s="1">
        <v>10</v>
      </c>
      <c r="O5" s="1">
        <v>1.0780000000000001</v>
      </c>
      <c r="P5" s="1">
        <v>0.74099999999999999</v>
      </c>
      <c r="Q5" s="1">
        <v>1.476</v>
      </c>
      <c r="R5" s="1">
        <v>0.33200000000000002</v>
      </c>
      <c r="S5" s="1">
        <v>0.191</v>
      </c>
      <c r="T5" s="6">
        <v>0.47399999999999998</v>
      </c>
      <c r="U5" s="1">
        <v>0</v>
      </c>
      <c r="V5" s="1">
        <v>1.333</v>
      </c>
      <c r="W5" s="6">
        <v>0.85399999999999998</v>
      </c>
      <c r="X5" s="1">
        <v>1.873</v>
      </c>
      <c r="Y5" s="8">
        <v>18.010000000000002</v>
      </c>
      <c r="Z5" s="1">
        <v>75.23</v>
      </c>
      <c r="AA5" s="1">
        <v>0</v>
      </c>
      <c r="AB5" s="1">
        <v>0</v>
      </c>
      <c r="AC5" s="1">
        <v>0</v>
      </c>
      <c r="AD5" s="1">
        <v>0</v>
      </c>
      <c r="AE5" s="1">
        <v>13.25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6">
        <v>6.76</v>
      </c>
      <c r="AM5" s="1">
        <v>4</v>
      </c>
      <c r="AN5" s="1">
        <v>0</v>
      </c>
      <c r="AO5" s="6">
        <f t="shared" si="0"/>
        <v>1.4100000000000001</v>
      </c>
      <c r="AP5" s="7">
        <f t="shared" si="2"/>
        <v>1.3330000000000002</v>
      </c>
      <c r="AQ5" s="6">
        <f t="shared" si="1"/>
        <v>7.6999999999999999E-2</v>
      </c>
      <c r="AR5" s="1">
        <v>0</v>
      </c>
      <c r="AS5" s="1">
        <v>0</v>
      </c>
      <c r="AT5" s="1">
        <v>0</v>
      </c>
      <c r="AU5" s="1">
        <v>0</v>
      </c>
      <c r="AV5" s="1">
        <v>0.68</v>
      </c>
      <c r="AW5" s="1">
        <v>0</v>
      </c>
      <c r="AX5" s="1">
        <v>0</v>
      </c>
      <c r="AY5" s="1">
        <v>0</v>
      </c>
      <c r="AZ5" s="1">
        <v>0.12</v>
      </c>
      <c r="BA5" s="1">
        <v>0.28000000000000003</v>
      </c>
      <c r="BB5" s="1">
        <v>0</v>
      </c>
      <c r="BC5" s="1">
        <v>0</v>
      </c>
      <c r="BD5" s="1">
        <v>0</v>
      </c>
      <c r="BE5" s="1">
        <v>62.75</v>
      </c>
      <c r="BF5" s="1">
        <v>0</v>
      </c>
      <c r="BG5" s="1">
        <v>0</v>
      </c>
      <c r="BH5" s="1">
        <v>37.25</v>
      </c>
      <c r="BI5" s="1">
        <v>0.68</v>
      </c>
      <c r="BJ5" s="1">
        <v>0</v>
      </c>
      <c r="BK5" s="1">
        <v>0</v>
      </c>
      <c r="BL5" s="8">
        <v>0.4</v>
      </c>
    </row>
    <row r="6" spans="1:65" x14ac:dyDescent="0.2">
      <c r="A6" s="4">
        <v>45731</v>
      </c>
      <c r="B6" s="1" t="s">
        <v>48</v>
      </c>
      <c r="C6" s="1" t="s">
        <v>190</v>
      </c>
      <c r="D6" s="5" t="s">
        <v>50</v>
      </c>
      <c r="E6" s="1" t="s">
        <v>59</v>
      </c>
      <c r="F6" s="1" t="s">
        <v>60</v>
      </c>
      <c r="G6" s="1">
        <v>5</v>
      </c>
      <c r="H6" s="6">
        <v>1.36</v>
      </c>
      <c r="I6" s="1">
        <v>0.88600000000000001</v>
      </c>
      <c r="J6" s="1">
        <v>1.871</v>
      </c>
      <c r="K6" s="1">
        <v>7.5999999999999998E-2</v>
      </c>
      <c r="L6" s="1">
        <v>0</v>
      </c>
      <c r="M6" s="1">
        <v>1.046</v>
      </c>
      <c r="N6" s="1">
        <v>10</v>
      </c>
      <c r="O6" s="1">
        <v>1.0129999999999999</v>
      </c>
      <c r="P6" s="6">
        <v>0.68700000000000006</v>
      </c>
      <c r="Q6" s="1">
        <v>1.3759999999999999</v>
      </c>
      <c r="R6" s="6">
        <v>0.34699999999999998</v>
      </c>
      <c r="S6" s="1">
        <v>0.19900000000000001</v>
      </c>
      <c r="T6" s="1">
        <v>0.495</v>
      </c>
      <c r="U6" s="1">
        <v>0</v>
      </c>
      <c r="V6" s="1">
        <v>1.284</v>
      </c>
      <c r="W6" s="1">
        <v>0.81</v>
      </c>
      <c r="X6" s="1">
        <v>1.7949999999999999</v>
      </c>
      <c r="Y6" s="1">
        <v>15.39</v>
      </c>
      <c r="Z6" s="1">
        <v>82.22</v>
      </c>
      <c r="AA6" s="1">
        <v>0</v>
      </c>
      <c r="AB6" s="1">
        <v>0</v>
      </c>
      <c r="AC6" s="1">
        <v>0</v>
      </c>
      <c r="AD6" s="1">
        <v>0</v>
      </c>
      <c r="AE6" s="6">
        <v>3.15</v>
      </c>
      <c r="AF6" s="1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6">
        <v>2.39</v>
      </c>
      <c r="AM6" s="1">
        <v>5</v>
      </c>
      <c r="AN6" s="1">
        <v>0</v>
      </c>
      <c r="AO6" s="6">
        <f t="shared" si="0"/>
        <v>1.3599999999999999</v>
      </c>
      <c r="AP6" s="7">
        <f t="shared" si="2"/>
        <v>1.2839999999999998</v>
      </c>
      <c r="AQ6" s="6">
        <f t="shared" si="1"/>
        <v>7.5999999999999998E-2</v>
      </c>
      <c r="AR6" s="1">
        <v>0</v>
      </c>
      <c r="AS6" s="1">
        <v>0</v>
      </c>
      <c r="AT6" s="1">
        <v>0</v>
      </c>
      <c r="AU6" s="1">
        <v>0</v>
      </c>
      <c r="AV6" s="1">
        <v>0.52</v>
      </c>
      <c r="AW6" s="1">
        <v>0.08</v>
      </c>
      <c r="AX6" s="1">
        <v>0</v>
      </c>
      <c r="AY6" s="1">
        <v>0</v>
      </c>
      <c r="AZ6" s="1">
        <v>0.14000000000000001</v>
      </c>
      <c r="BA6" s="1">
        <v>0.28000000000000003</v>
      </c>
      <c r="BB6" s="1">
        <v>0</v>
      </c>
      <c r="BC6" s="1">
        <v>0</v>
      </c>
      <c r="BD6" s="1">
        <v>0</v>
      </c>
      <c r="BE6" s="1">
        <v>50.89</v>
      </c>
      <c r="BF6" s="1">
        <v>0</v>
      </c>
      <c r="BG6" s="1">
        <v>0</v>
      </c>
      <c r="BH6" s="1">
        <v>49.11</v>
      </c>
      <c r="BI6" s="1">
        <v>0.52</v>
      </c>
      <c r="BJ6" s="1">
        <v>0</v>
      </c>
      <c r="BK6" s="1">
        <v>0</v>
      </c>
      <c r="BL6" s="8">
        <v>0.5</v>
      </c>
    </row>
    <row r="7" spans="1:65" x14ac:dyDescent="0.2">
      <c r="A7" s="4">
        <v>45719</v>
      </c>
      <c r="B7" s="1" t="s">
        <v>48</v>
      </c>
      <c r="C7" s="1" t="s">
        <v>190</v>
      </c>
      <c r="D7" s="9" t="s">
        <v>198</v>
      </c>
      <c r="E7" s="1" t="s">
        <v>68</v>
      </c>
      <c r="F7" s="1" t="s">
        <v>69</v>
      </c>
      <c r="G7" s="1">
        <v>1</v>
      </c>
      <c r="H7" s="1">
        <v>7.7640000000000002</v>
      </c>
      <c r="I7" s="1">
        <v>5.9630000000000001</v>
      </c>
      <c r="J7" s="1">
        <v>9.6289999999999996</v>
      </c>
      <c r="K7" s="1">
        <v>4.4999999999999998E-2</v>
      </c>
      <c r="L7" s="1">
        <v>2.7E-2</v>
      </c>
      <c r="M7" s="1">
        <v>1.153</v>
      </c>
      <c r="N7" s="1">
        <v>10</v>
      </c>
      <c r="O7" s="1">
        <v>7.6130000000000004</v>
      </c>
      <c r="P7" s="1">
        <v>5.8769999999999998</v>
      </c>
      <c r="Q7" s="1">
        <v>9.4130000000000003</v>
      </c>
      <c r="R7" s="1">
        <v>0.151</v>
      </c>
      <c r="S7" s="1">
        <v>8.6999999999999994E-2</v>
      </c>
      <c r="T7" s="1">
        <v>0.215</v>
      </c>
      <c r="U7" s="1">
        <v>0</v>
      </c>
      <c r="V7" s="1">
        <v>7.6929999999999996</v>
      </c>
      <c r="W7" s="1">
        <v>5.8920000000000003</v>
      </c>
      <c r="X7" s="1">
        <v>9.5570000000000004</v>
      </c>
      <c r="Y7" s="1">
        <v>43.11</v>
      </c>
      <c r="Z7" s="1">
        <v>30.48</v>
      </c>
      <c r="AA7" s="1">
        <v>0</v>
      </c>
      <c r="AB7" s="1">
        <v>0</v>
      </c>
      <c r="AC7" s="1">
        <v>0</v>
      </c>
      <c r="AD7" s="1">
        <v>0</v>
      </c>
      <c r="AE7" s="8">
        <v>11</v>
      </c>
      <c r="AF7" s="15">
        <v>4.4000000000000004</v>
      </c>
      <c r="AG7" s="1">
        <v>0</v>
      </c>
      <c r="AH7" s="6">
        <v>2.12</v>
      </c>
      <c r="AI7" s="1">
        <v>0.9</v>
      </c>
      <c r="AJ7" s="1">
        <v>0</v>
      </c>
      <c r="AK7" s="1">
        <v>14.59</v>
      </c>
      <c r="AL7" s="1">
        <v>0</v>
      </c>
      <c r="AM7" s="1">
        <v>6</v>
      </c>
      <c r="AN7" s="1">
        <v>0</v>
      </c>
      <c r="AO7" s="6">
        <f t="shared" si="0"/>
        <v>7.7640000000000002</v>
      </c>
      <c r="AP7" s="7">
        <f t="shared" si="2"/>
        <v>7.6920000000000002</v>
      </c>
      <c r="AQ7" s="6">
        <f t="shared" si="1"/>
        <v>7.1999999999999995E-2</v>
      </c>
      <c r="AR7" s="1">
        <v>0</v>
      </c>
      <c r="AS7" s="1">
        <v>0.46</v>
      </c>
      <c r="AT7" s="1">
        <v>0</v>
      </c>
      <c r="AU7" s="1">
        <v>0</v>
      </c>
      <c r="AV7" s="1">
        <v>3.08</v>
      </c>
      <c r="AW7" s="8">
        <v>0.78</v>
      </c>
      <c r="AX7" s="1">
        <v>2.2400000000000002</v>
      </c>
      <c r="AY7" s="1">
        <v>0.12</v>
      </c>
      <c r="AZ7" s="1">
        <v>0</v>
      </c>
      <c r="BA7" s="1">
        <v>0.65</v>
      </c>
      <c r="BB7" s="1">
        <v>0</v>
      </c>
      <c r="BC7" s="1">
        <v>0</v>
      </c>
      <c r="BD7" s="1">
        <v>0.4</v>
      </c>
      <c r="BE7" s="1">
        <v>37.049999999999997</v>
      </c>
      <c r="BF7" s="1">
        <v>0</v>
      </c>
      <c r="BG7" s="1">
        <v>27.98</v>
      </c>
      <c r="BH7" s="1">
        <v>34.97</v>
      </c>
      <c r="BI7" s="1">
        <v>3.54</v>
      </c>
      <c r="BJ7" s="1">
        <v>0</v>
      </c>
      <c r="BK7" s="8">
        <v>1.3</v>
      </c>
      <c r="BL7" s="1">
        <v>2.77</v>
      </c>
    </row>
    <row r="8" spans="1:65" x14ac:dyDescent="0.2">
      <c r="A8" s="4">
        <v>45719</v>
      </c>
      <c r="B8" s="1" t="s">
        <v>48</v>
      </c>
      <c r="C8" s="1" t="s">
        <v>190</v>
      </c>
      <c r="D8" s="9" t="s">
        <v>198</v>
      </c>
      <c r="E8" s="1" t="s">
        <v>70</v>
      </c>
      <c r="F8" s="1" t="s">
        <v>71</v>
      </c>
      <c r="G8" s="1">
        <v>2</v>
      </c>
      <c r="H8" s="1">
        <v>4.5510000000000002</v>
      </c>
      <c r="I8" s="1">
        <v>3.4449999999999998</v>
      </c>
      <c r="J8" s="1">
        <v>5.7750000000000004</v>
      </c>
      <c r="K8" s="1">
        <v>6.5000000000000002E-2</v>
      </c>
      <c r="L8" s="1">
        <v>7.0000000000000001E-3</v>
      </c>
      <c r="M8" s="1">
        <v>1.1080000000000001</v>
      </c>
      <c r="N8" s="1">
        <v>10</v>
      </c>
      <c r="O8" s="1">
        <v>4.2619999999999996</v>
      </c>
      <c r="P8" s="1">
        <v>3.2789999999999999</v>
      </c>
      <c r="Q8" s="1">
        <v>5.343</v>
      </c>
      <c r="R8" s="1">
        <v>0.28899999999999998</v>
      </c>
      <c r="S8" s="1">
        <v>0.16600000000000001</v>
      </c>
      <c r="T8" s="1">
        <v>0.41199999999999998</v>
      </c>
      <c r="U8" s="6">
        <f>(((0.0029*90^1.6624)*2)*365)/1000</f>
        <v>3.7536485330502654</v>
      </c>
      <c r="V8" s="6">
        <v>4.4800000000000004</v>
      </c>
      <c r="W8" s="1">
        <v>3.3740000000000001</v>
      </c>
      <c r="X8" s="1">
        <v>5.6840000000000002</v>
      </c>
      <c r="Y8" s="1">
        <v>31.34</v>
      </c>
      <c r="Z8" s="1">
        <v>61.14</v>
      </c>
      <c r="AA8" s="1">
        <v>0</v>
      </c>
      <c r="AB8" s="1">
        <v>0</v>
      </c>
      <c r="AC8" s="1">
        <v>0</v>
      </c>
      <c r="AD8" s="1">
        <v>0</v>
      </c>
      <c r="AE8" s="1">
        <v>10.85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8">
        <v>4.53</v>
      </c>
      <c r="AL8" s="1">
        <v>0</v>
      </c>
      <c r="AM8" s="1">
        <v>5</v>
      </c>
      <c r="AN8" s="1">
        <v>0</v>
      </c>
      <c r="AO8" s="6">
        <f t="shared" si="0"/>
        <v>4.5509999999999993</v>
      </c>
      <c r="AP8" s="7">
        <f t="shared" si="2"/>
        <v>0.72535146694973385</v>
      </c>
      <c r="AQ8" s="6">
        <f t="shared" si="1"/>
        <v>3.8256485330502654</v>
      </c>
      <c r="AR8" s="1">
        <v>0</v>
      </c>
      <c r="AS8" s="1">
        <v>0.75</v>
      </c>
      <c r="AT8" s="1">
        <v>0</v>
      </c>
      <c r="AU8" s="1">
        <v>0</v>
      </c>
      <c r="AV8" s="8">
        <v>1.28</v>
      </c>
      <c r="AW8" s="1">
        <v>0.61</v>
      </c>
      <c r="AX8" s="8">
        <v>0.87</v>
      </c>
      <c r="AY8" s="1">
        <v>0</v>
      </c>
      <c r="AZ8" s="1">
        <v>0</v>
      </c>
      <c r="BA8" s="1">
        <v>0.75</v>
      </c>
      <c r="BB8" s="1">
        <v>0</v>
      </c>
      <c r="BC8" s="1">
        <v>0</v>
      </c>
      <c r="BD8" s="1">
        <v>0</v>
      </c>
      <c r="BE8" s="1">
        <v>49.05</v>
      </c>
      <c r="BF8" s="1">
        <v>0</v>
      </c>
      <c r="BG8" s="1">
        <v>34.33</v>
      </c>
      <c r="BH8" s="1">
        <v>16.62</v>
      </c>
      <c r="BI8" s="1">
        <v>2.2200000000000002</v>
      </c>
      <c r="BJ8" s="1">
        <v>0</v>
      </c>
      <c r="BK8" s="8">
        <v>1.1000000000000001</v>
      </c>
      <c r="BL8" s="1">
        <v>0.94</v>
      </c>
    </row>
    <row r="9" spans="1:65" x14ac:dyDescent="0.2">
      <c r="A9" s="4">
        <v>45719</v>
      </c>
      <c r="B9" s="1" t="s">
        <v>48</v>
      </c>
      <c r="C9" s="1" t="s">
        <v>190</v>
      </c>
      <c r="D9" s="9" t="s">
        <v>198</v>
      </c>
      <c r="E9" s="1" t="s">
        <v>72</v>
      </c>
      <c r="F9" s="1" t="s">
        <v>73</v>
      </c>
      <c r="G9" s="1">
        <v>3</v>
      </c>
      <c r="H9" s="1">
        <v>3.577</v>
      </c>
      <c r="I9" s="1">
        <v>2.6850000000000001</v>
      </c>
      <c r="J9" s="1">
        <v>4.5490000000000004</v>
      </c>
      <c r="K9" s="1">
        <v>6.3E-2</v>
      </c>
      <c r="L9" s="1">
        <v>0</v>
      </c>
      <c r="M9" s="1">
        <v>1.046</v>
      </c>
      <c r="N9" s="1">
        <v>10</v>
      </c>
      <c r="O9" s="1">
        <v>3.282</v>
      </c>
      <c r="P9" s="1">
        <v>2.677</v>
      </c>
      <c r="Q9" s="1">
        <v>4.1280000000000001</v>
      </c>
      <c r="R9" s="1">
        <v>0.29499999999999998</v>
      </c>
      <c r="S9" s="1">
        <v>8.9999999999999993E-3</v>
      </c>
      <c r="T9" s="1">
        <v>0.42099999999999999</v>
      </c>
      <c r="U9" s="6">
        <f>(((0.0029*90^1.6624)*2)*365)/1000</f>
        <v>3.7536485330502654</v>
      </c>
      <c r="V9" s="1">
        <v>3.5139999999999998</v>
      </c>
      <c r="W9" s="1">
        <v>2.6219999999999999</v>
      </c>
      <c r="X9" s="1">
        <v>4.4859999999999998</v>
      </c>
      <c r="Y9" s="1">
        <v>23.04</v>
      </c>
      <c r="Z9" s="1">
        <v>69.98</v>
      </c>
      <c r="AA9" s="1">
        <v>0</v>
      </c>
      <c r="AB9" s="1">
        <v>0</v>
      </c>
      <c r="AC9" s="1">
        <v>0</v>
      </c>
      <c r="AD9" s="1">
        <v>0</v>
      </c>
      <c r="AE9" s="6">
        <v>3.54</v>
      </c>
      <c r="AF9" s="11">
        <v>0</v>
      </c>
      <c r="AG9" s="1">
        <v>0</v>
      </c>
      <c r="AH9" s="1">
        <v>0</v>
      </c>
      <c r="AI9" s="1">
        <v>0</v>
      </c>
      <c r="AJ9" s="1">
        <v>0</v>
      </c>
      <c r="AK9" s="8">
        <v>6.98</v>
      </c>
      <c r="AL9" s="1">
        <v>0</v>
      </c>
      <c r="AM9" s="1">
        <v>4</v>
      </c>
      <c r="AN9" s="1">
        <v>0</v>
      </c>
      <c r="AO9" s="6">
        <f t="shared" si="0"/>
        <v>3.577</v>
      </c>
      <c r="AP9" s="7">
        <f t="shared" si="2"/>
        <v>-0.23964853305026557</v>
      </c>
      <c r="AQ9" s="6">
        <f t="shared" si="1"/>
        <v>3.8166485330502655</v>
      </c>
      <c r="AR9" s="1">
        <v>0</v>
      </c>
      <c r="AS9" s="1">
        <v>0.83</v>
      </c>
      <c r="AT9" s="1">
        <v>0</v>
      </c>
      <c r="AU9" s="1">
        <v>0</v>
      </c>
      <c r="AV9" s="8">
        <v>0.32</v>
      </c>
      <c r="AW9" s="1">
        <v>0</v>
      </c>
      <c r="AX9" s="1">
        <v>1.87</v>
      </c>
      <c r="AY9" s="1">
        <v>0.27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41.49</v>
      </c>
      <c r="BF9" s="1">
        <v>0</v>
      </c>
      <c r="BG9" s="1">
        <v>0</v>
      </c>
      <c r="BH9" s="1">
        <v>58.51</v>
      </c>
      <c r="BI9" s="8">
        <v>1.1499999999999999</v>
      </c>
      <c r="BJ9" s="1">
        <v>0</v>
      </c>
      <c r="BK9" s="1">
        <v>0</v>
      </c>
      <c r="BL9" s="8">
        <v>2.13</v>
      </c>
    </row>
    <row r="10" spans="1:65" x14ac:dyDescent="0.2">
      <c r="A10" s="4">
        <v>45720</v>
      </c>
      <c r="B10" s="1" t="s">
        <v>48</v>
      </c>
      <c r="C10" s="1" t="s">
        <v>190</v>
      </c>
      <c r="D10" s="9" t="s">
        <v>198</v>
      </c>
      <c r="G10" s="1">
        <v>4</v>
      </c>
      <c r="H10" s="1">
        <v>3.125</v>
      </c>
      <c r="I10" s="1">
        <v>1.7969999999999999</v>
      </c>
      <c r="J10" s="1">
        <v>4.8029999999999999</v>
      </c>
      <c r="K10" s="6">
        <v>6.3E-2</v>
      </c>
      <c r="L10" s="1">
        <v>0</v>
      </c>
      <c r="M10" s="1">
        <v>0.999</v>
      </c>
      <c r="N10" s="1">
        <v>10</v>
      </c>
      <c r="O10" s="1">
        <v>2.8319999999999999</v>
      </c>
      <c r="P10" s="1">
        <v>1.6279999999999999</v>
      </c>
      <c r="Q10" s="1">
        <v>4.3849999999999998</v>
      </c>
      <c r="R10" s="1">
        <v>0.29299999999999998</v>
      </c>
      <c r="S10" s="1">
        <v>0.16800000000000001</v>
      </c>
      <c r="T10" s="1">
        <v>0.41799999999999998</v>
      </c>
      <c r="U10" s="1">
        <v>0</v>
      </c>
      <c r="V10" s="1">
        <v>3.0630000000000002</v>
      </c>
      <c r="W10" s="6">
        <v>1.734</v>
      </c>
      <c r="X10" s="1">
        <v>4.7409999999999997</v>
      </c>
      <c r="Y10" s="1">
        <v>29.28</v>
      </c>
      <c r="Z10" s="1">
        <v>70.72</v>
      </c>
      <c r="AA10" s="1">
        <v>0</v>
      </c>
      <c r="AB10" s="1">
        <v>0</v>
      </c>
      <c r="AC10" s="1">
        <v>0</v>
      </c>
      <c r="AD10" s="1">
        <v>0</v>
      </c>
      <c r="AE10" s="1">
        <v>70.72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</v>
      </c>
      <c r="AN10" s="1">
        <v>0</v>
      </c>
      <c r="AO10" s="6">
        <f t="shared" si="0"/>
        <v>3.125</v>
      </c>
      <c r="AP10" s="7">
        <f t="shared" si="2"/>
        <v>3.0619999999999998</v>
      </c>
      <c r="AQ10" s="6">
        <f t="shared" si="1"/>
        <v>6.3E-2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0.25</v>
      </c>
      <c r="AX10" s="1">
        <v>0</v>
      </c>
      <c r="AY10" s="1">
        <v>2.3199999999999998</v>
      </c>
      <c r="AZ10" s="1">
        <v>0</v>
      </c>
      <c r="BA10" s="1">
        <v>0.25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19.27</v>
      </c>
      <c r="BH10" s="1">
        <v>80.73</v>
      </c>
      <c r="BI10" s="1">
        <v>0</v>
      </c>
      <c r="BJ10" s="1">
        <v>0</v>
      </c>
      <c r="BK10" s="1">
        <v>0.51</v>
      </c>
      <c r="BL10" s="1">
        <v>2.3199999999999998</v>
      </c>
    </row>
    <row r="11" spans="1:65" x14ac:dyDescent="0.2">
      <c r="A11" s="4">
        <v>45720</v>
      </c>
      <c r="B11" s="1" t="s">
        <v>48</v>
      </c>
      <c r="C11" s="1" t="s">
        <v>190</v>
      </c>
      <c r="D11" s="9" t="s">
        <v>198</v>
      </c>
      <c r="G11" s="1">
        <v>5</v>
      </c>
      <c r="H11" s="1">
        <v>2.823</v>
      </c>
      <c r="I11" s="1">
        <v>1.764</v>
      </c>
      <c r="J11" s="1">
        <v>4.0659999999999998</v>
      </c>
      <c r="K11" s="1">
        <v>6.6000000000000003E-2</v>
      </c>
      <c r="L11" s="1">
        <v>0</v>
      </c>
      <c r="M11" s="1">
        <v>0.98399999999999999</v>
      </c>
      <c r="N11" s="1">
        <v>10</v>
      </c>
      <c r="O11" s="1">
        <v>2.6819999999999999</v>
      </c>
      <c r="P11" s="1">
        <v>1.6830000000000001</v>
      </c>
      <c r="Q11" s="1">
        <v>3.8650000000000002</v>
      </c>
      <c r="R11" s="1">
        <v>0.14099999999999999</v>
      </c>
      <c r="S11" s="1">
        <v>8.1000000000000003E-2</v>
      </c>
      <c r="T11" s="1">
        <v>0.20100000000000001</v>
      </c>
      <c r="U11" s="1">
        <v>0</v>
      </c>
      <c r="V11" s="1">
        <v>2.7570000000000001</v>
      </c>
      <c r="W11" s="1">
        <v>1.698</v>
      </c>
      <c r="X11" s="6">
        <v>4</v>
      </c>
      <c r="Y11" s="1">
        <v>21.22</v>
      </c>
      <c r="Z11" s="1">
        <v>34.86</v>
      </c>
      <c r="AA11" s="1">
        <v>0</v>
      </c>
      <c r="AB11" s="1">
        <v>0</v>
      </c>
      <c r="AC11" s="1">
        <v>0</v>
      </c>
      <c r="AD11" s="1">
        <v>0</v>
      </c>
      <c r="AE11" s="1">
        <v>32.869999999999997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1">
        <v>0</v>
      </c>
      <c r="AL11" s="1">
        <v>41.43</v>
      </c>
      <c r="AM11" s="1">
        <v>4</v>
      </c>
      <c r="AN11" s="1">
        <v>0</v>
      </c>
      <c r="AO11" s="6">
        <f t="shared" si="0"/>
        <v>2.823</v>
      </c>
      <c r="AP11" s="7">
        <f t="shared" si="2"/>
        <v>2.7570000000000001</v>
      </c>
      <c r="AQ11" s="6">
        <f t="shared" si="1"/>
        <v>6.6000000000000003E-2</v>
      </c>
      <c r="AR11" s="1">
        <v>0</v>
      </c>
      <c r="AS11" s="1">
        <v>0</v>
      </c>
      <c r="AT11" s="1">
        <v>0</v>
      </c>
      <c r="AU11" s="1">
        <v>0</v>
      </c>
      <c r="AV11" s="1">
        <v>1.18</v>
      </c>
      <c r="AW11" s="1">
        <v>0.18</v>
      </c>
      <c r="AX11" s="1">
        <v>0</v>
      </c>
      <c r="AY11" s="1">
        <v>1.04</v>
      </c>
      <c r="AZ11" s="1">
        <v>0</v>
      </c>
      <c r="BA11" s="1">
        <v>0.28000000000000003</v>
      </c>
      <c r="BB11" s="1">
        <v>0</v>
      </c>
      <c r="BC11" s="1">
        <v>0</v>
      </c>
      <c r="BD11" s="1">
        <v>0</v>
      </c>
      <c r="BE11" s="1">
        <v>30.99</v>
      </c>
      <c r="BF11" s="1">
        <v>0</v>
      </c>
      <c r="BG11" s="1">
        <v>18.78</v>
      </c>
      <c r="BH11" s="1">
        <v>50.23</v>
      </c>
      <c r="BI11" s="1">
        <v>1.29</v>
      </c>
      <c r="BJ11" s="1">
        <v>0</v>
      </c>
      <c r="BK11" s="1">
        <v>0.35</v>
      </c>
      <c r="BL11" s="1">
        <v>1.04</v>
      </c>
    </row>
    <row r="12" spans="1:65" x14ac:dyDescent="0.2">
      <c r="A12" s="4">
        <v>45720</v>
      </c>
      <c r="B12" s="1" t="s">
        <v>48</v>
      </c>
      <c r="C12" s="1" t="s">
        <v>190</v>
      </c>
      <c r="D12" s="9" t="s">
        <v>198</v>
      </c>
      <c r="G12" s="1">
        <v>6</v>
      </c>
      <c r="H12" s="1">
        <v>4.5640000000000001</v>
      </c>
      <c r="I12" s="1">
        <v>3.5150000000000001</v>
      </c>
      <c r="J12" s="1">
        <v>5.6909999999999998</v>
      </c>
      <c r="K12" s="1">
        <v>5.7000000000000002E-2</v>
      </c>
      <c r="L12" s="1">
        <v>0</v>
      </c>
      <c r="M12" s="6">
        <v>1.01</v>
      </c>
      <c r="N12" s="1">
        <v>10</v>
      </c>
      <c r="O12" s="1">
        <v>4.3520000000000003</v>
      </c>
      <c r="P12" s="1">
        <v>3.3929999999999998</v>
      </c>
      <c r="Q12" s="1">
        <v>5.3890000000000002</v>
      </c>
      <c r="R12" s="1">
        <v>0.21199999999999999</v>
      </c>
      <c r="S12" s="1">
        <v>0.122</v>
      </c>
      <c r="T12" s="1">
        <v>0.30199999999999999</v>
      </c>
      <c r="U12" s="1">
        <v>0</v>
      </c>
      <c r="V12" s="1">
        <v>4.5060000000000002</v>
      </c>
      <c r="W12" s="1">
        <v>3.4580000000000002</v>
      </c>
      <c r="X12" s="1">
        <v>5.6340000000000003</v>
      </c>
      <c r="Y12" s="8">
        <v>34.799999999999997</v>
      </c>
      <c r="Z12" s="1">
        <v>51.47</v>
      </c>
      <c r="AA12" s="1">
        <v>0</v>
      </c>
      <c r="AB12" s="1">
        <v>0</v>
      </c>
      <c r="AC12" s="1">
        <v>0</v>
      </c>
      <c r="AD12" s="1">
        <v>0</v>
      </c>
      <c r="AE12" s="1">
        <v>33.33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13.73</v>
      </c>
      <c r="AM12" s="1">
        <v>5</v>
      </c>
      <c r="AN12" s="1">
        <v>0</v>
      </c>
      <c r="AO12" s="6">
        <f t="shared" si="0"/>
        <v>4.5640000000000001</v>
      </c>
      <c r="AP12" s="7">
        <f t="shared" si="2"/>
        <v>4.5069999999999997</v>
      </c>
      <c r="AQ12" s="6">
        <f t="shared" si="1"/>
        <v>5.7000000000000002E-2</v>
      </c>
      <c r="AR12" s="1">
        <v>0</v>
      </c>
      <c r="AS12" s="8">
        <v>1.73</v>
      </c>
      <c r="AT12" s="1">
        <v>0</v>
      </c>
      <c r="AU12" s="1">
        <v>0</v>
      </c>
      <c r="AV12" s="1">
        <v>0</v>
      </c>
      <c r="AW12" s="1">
        <v>0.12</v>
      </c>
      <c r="AX12" s="1">
        <v>2.29</v>
      </c>
      <c r="AY12" s="1">
        <v>0.12</v>
      </c>
      <c r="AZ12" s="1">
        <v>0</v>
      </c>
      <c r="BA12" s="1">
        <v>0.09</v>
      </c>
      <c r="BB12" s="1">
        <v>0</v>
      </c>
      <c r="BC12" s="1">
        <v>0</v>
      </c>
      <c r="BD12" s="1">
        <v>0</v>
      </c>
      <c r="BE12" s="1">
        <v>49.28</v>
      </c>
      <c r="BF12" s="1">
        <v>0</v>
      </c>
      <c r="BG12" s="8">
        <v>5.8</v>
      </c>
      <c r="BH12" s="1">
        <v>44.93</v>
      </c>
      <c r="BI12" s="1">
        <v>1.73</v>
      </c>
      <c r="BJ12" s="1">
        <v>0</v>
      </c>
      <c r="BK12" s="1">
        <v>0.18</v>
      </c>
      <c r="BL12" s="1">
        <v>2.33</v>
      </c>
    </row>
    <row r="13" spans="1:65" x14ac:dyDescent="0.2">
      <c r="A13" s="4">
        <v>45719</v>
      </c>
      <c r="B13" s="1" t="s">
        <v>48</v>
      </c>
      <c r="C13" s="1" t="s">
        <v>190</v>
      </c>
      <c r="D13" s="9" t="s">
        <v>198</v>
      </c>
      <c r="E13" s="1" t="s">
        <v>74</v>
      </c>
      <c r="F13" s="1" t="s">
        <v>75</v>
      </c>
      <c r="G13" s="1">
        <v>7</v>
      </c>
      <c r="H13" s="1">
        <v>10.099</v>
      </c>
      <c r="I13" s="1">
        <v>7.774</v>
      </c>
      <c r="J13" s="1">
        <v>12.532999999999999</v>
      </c>
      <c r="K13" s="1">
        <v>2.8000000000000001E-2</v>
      </c>
      <c r="L13" s="1">
        <v>0</v>
      </c>
      <c r="M13" s="1">
        <v>1.075</v>
      </c>
      <c r="N13" s="1">
        <v>10</v>
      </c>
      <c r="O13" s="1">
        <v>9.9659999999999993</v>
      </c>
      <c r="P13" s="1">
        <v>7.6980000000000004</v>
      </c>
      <c r="Q13" s="1">
        <v>12.343999999999999</v>
      </c>
      <c r="R13" s="1">
        <v>0.13300000000000001</v>
      </c>
      <c r="S13" s="1">
        <v>7.5999999999999998E-2</v>
      </c>
      <c r="T13" s="1">
        <v>0.189</v>
      </c>
      <c r="U13" s="1">
        <v>0</v>
      </c>
      <c r="V13" s="1">
        <v>10.071</v>
      </c>
      <c r="W13" s="1">
        <v>7.7460000000000004</v>
      </c>
      <c r="X13" s="6">
        <v>12.505000000000001</v>
      </c>
      <c r="Y13" s="1">
        <v>68.239999999999995</v>
      </c>
      <c r="Z13" s="1">
        <v>30.46</v>
      </c>
      <c r="AA13" s="1">
        <v>0</v>
      </c>
      <c r="AB13" s="1">
        <v>0</v>
      </c>
      <c r="AC13" s="1">
        <v>0</v>
      </c>
      <c r="AD13" s="1">
        <v>0</v>
      </c>
      <c r="AE13" s="1">
        <v>27.69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8">
        <v>1.3</v>
      </c>
      <c r="AL13" s="1">
        <v>0</v>
      </c>
      <c r="AM13" s="1">
        <v>5</v>
      </c>
      <c r="AN13" s="1">
        <v>0</v>
      </c>
      <c r="AO13" s="6">
        <f t="shared" si="0"/>
        <v>10.099</v>
      </c>
      <c r="AP13" s="7">
        <f t="shared" si="2"/>
        <v>10.071</v>
      </c>
      <c r="AQ13" s="6">
        <f t="shared" si="1"/>
        <v>2.8000000000000001E-2</v>
      </c>
      <c r="AR13" s="1">
        <v>0</v>
      </c>
      <c r="AS13" s="1">
        <v>3.21</v>
      </c>
      <c r="AT13" s="1">
        <v>0</v>
      </c>
      <c r="AU13" s="1">
        <v>0</v>
      </c>
      <c r="AV13" s="1">
        <v>1.45</v>
      </c>
      <c r="AW13" s="1">
        <v>0.11</v>
      </c>
      <c r="AX13" s="1">
        <v>5.14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53.87</v>
      </c>
      <c r="BF13" s="1">
        <v>0</v>
      </c>
      <c r="BG13" s="1">
        <v>1.36</v>
      </c>
      <c r="BH13" s="1">
        <v>44.78</v>
      </c>
      <c r="BI13" s="1">
        <v>4.67</v>
      </c>
      <c r="BJ13" s="1">
        <v>0</v>
      </c>
      <c r="BK13" s="1">
        <v>0.09</v>
      </c>
      <c r="BL13" s="1">
        <v>5.21</v>
      </c>
    </row>
    <row r="14" spans="1:65" x14ac:dyDescent="0.2">
      <c r="A14" s="4">
        <v>45719</v>
      </c>
      <c r="B14" s="1" t="s">
        <v>48</v>
      </c>
      <c r="C14" s="1" t="s">
        <v>190</v>
      </c>
      <c r="D14" s="9" t="s">
        <v>198</v>
      </c>
      <c r="E14" s="1" t="s">
        <v>76</v>
      </c>
      <c r="F14" s="1" t="s">
        <v>77</v>
      </c>
      <c r="G14" s="1">
        <v>8</v>
      </c>
      <c r="H14" s="6">
        <v>7.15</v>
      </c>
      <c r="I14" s="1">
        <v>5.3250000000000002</v>
      </c>
      <c r="J14" s="1">
        <v>9.0389999999999997</v>
      </c>
      <c r="K14" s="1">
        <v>4.7E-2</v>
      </c>
      <c r="L14" s="1">
        <v>0</v>
      </c>
      <c r="M14" s="1">
        <v>1.0429999999999999</v>
      </c>
      <c r="N14" s="1">
        <v>10</v>
      </c>
      <c r="O14" s="1">
        <v>6.9279999999999999</v>
      </c>
      <c r="P14" s="1">
        <v>5.1980000000000004</v>
      </c>
      <c r="Q14" s="1">
        <v>8.7230000000000008</v>
      </c>
      <c r="R14" s="1">
        <v>0.222</v>
      </c>
      <c r="S14" s="1">
        <v>0.127</v>
      </c>
      <c r="T14" s="1">
        <v>0.317</v>
      </c>
      <c r="U14" s="1">
        <v>0</v>
      </c>
      <c r="V14" s="1">
        <v>7.1029999999999998</v>
      </c>
      <c r="W14" s="1">
        <v>5.2779999999999996</v>
      </c>
      <c r="X14" s="6">
        <v>8.9920000000000009</v>
      </c>
      <c r="Y14" s="1">
        <v>47.27</v>
      </c>
      <c r="Z14" s="1">
        <v>52.73</v>
      </c>
      <c r="AA14" s="1">
        <v>0</v>
      </c>
      <c r="AB14" s="1">
        <v>0</v>
      </c>
      <c r="AC14" s="1">
        <v>0</v>
      </c>
      <c r="AD14" s="1">
        <v>0</v>
      </c>
      <c r="AE14" s="1">
        <v>52.73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4</v>
      </c>
      <c r="AN14" s="1">
        <v>0</v>
      </c>
      <c r="AO14" s="6">
        <f t="shared" si="0"/>
        <v>7.15</v>
      </c>
      <c r="AP14" s="7">
        <f t="shared" si="2"/>
        <v>7.1030000000000006</v>
      </c>
      <c r="AQ14" s="6">
        <f t="shared" si="1"/>
        <v>4.7E-2</v>
      </c>
      <c r="AR14" s="1">
        <v>0</v>
      </c>
      <c r="AS14" s="1">
        <v>2.04</v>
      </c>
      <c r="AT14" s="1">
        <v>0</v>
      </c>
      <c r="AU14" s="1">
        <v>0</v>
      </c>
      <c r="AV14" s="1">
        <v>2.02</v>
      </c>
      <c r="AW14" s="1">
        <v>7.0000000000000007E-2</v>
      </c>
      <c r="AX14" s="8">
        <v>2.8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61.66</v>
      </c>
      <c r="BF14" s="1">
        <v>0</v>
      </c>
      <c r="BG14" s="1">
        <v>0</v>
      </c>
      <c r="BH14" s="1">
        <v>38.340000000000003</v>
      </c>
      <c r="BI14" s="1">
        <v>4.0599999999999996</v>
      </c>
      <c r="BJ14" s="1">
        <v>0</v>
      </c>
      <c r="BK14" s="1">
        <v>0</v>
      </c>
      <c r="BL14" s="1">
        <v>2.87</v>
      </c>
    </row>
    <row r="15" spans="1:65" x14ac:dyDescent="0.2">
      <c r="A15" s="4">
        <v>45719</v>
      </c>
      <c r="B15" s="1" t="s">
        <v>48</v>
      </c>
      <c r="C15" s="1" t="s">
        <v>190</v>
      </c>
      <c r="D15" s="9" t="s">
        <v>198</v>
      </c>
      <c r="E15" s="1" t="s">
        <v>78</v>
      </c>
      <c r="F15" s="1" t="s">
        <v>79</v>
      </c>
      <c r="G15" s="1">
        <v>9</v>
      </c>
      <c r="H15" s="1">
        <v>6.8360000000000003</v>
      </c>
      <c r="I15" s="1">
        <v>5.0830000000000002</v>
      </c>
      <c r="J15" s="1">
        <v>8.6530000000000005</v>
      </c>
      <c r="K15" s="1">
        <v>4.3999999999999997E-2</v>
      </c>
      <c r="L15" s="1">
        <v>4.0000000000000001E-3</v>
      </c>
      <c r="M15" s="1">
        <v>0.99299999999999999</v>
      </c>
      <c r="N15" s="1">
        <v>10</v>
      </c>
      <c r="O15" s="1">
        <v>6.6379999999999999</v>
      </c>
      <c r="P15" s="6">
        <v>4.97</v>
      </c>
      <c r="Q15" s="1">
        <v>8.3719999999999999</v>
      </c>
      <c r="R15" s="1">
        <v>0.19700000000000001</v>
      </c>
      <c r="S15" s="1">
        <v>0.113</v>
      </c>
      <c r="T15" s="1">
        <v>0.28100000000000003</v>
      </c>
      <c r="U15" s="1">
        <v>0</v>
      </c>
      <c r="V15" s="1">
        <v>6.7880000000000003</v>
      </c>
      <c r="W15" s="1">
        <v>5.0380000000000003</v>
      </c>
      <c r="X15" s="1">
        <v>8.6050000000000004</v>
      </c>
      <c r="Y15" s="1">
        <v>48.14</v>
      </c>
      <c r="Z15" s="1">
        <v>49.24</v>
      </c>
      <c r="AA15" s="1">
        <v>0</v>
      </c>
      <c r="AB15" s="1">
        <v>0</v>
      </c>
      <c r="AC15" s="1">
        <v>0</v>
      </c>
      <c r="AD15" s="1">
        <v>0</v>
      </c>
      <c r="AE15" s="1">
        <v>51.36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0.5</v>
      </c>
      <c r="AL15" s="1">
        <v>0</v>
      </c>
      <c r="AM15" s="1">
        <v>3</v>
      </c>
      <c r="AN15" s="1">
        <v>0</v>
      </c>
      <c r="AO15" s="6">
        <f t="shared" si="0"/>
        <v>6.835</v>
      </c>
      <c r="AP15" s="7">
        <f t="shared" si="2"/>
        <v>6.7869999999999999</v>
      </c>
      <c r="AQ15" s="6">
        <f t="shared" si="1"/>
        <v>4.8000000000000001E-2</v>
      </c>
      <c r="AR15" s="1">
        <v>0</v>
      </c>
      <c r="AS15" s="1">
        <v>2.17</v>
      </c>
      <c r="AT15" s="1">
        <v>0</v>
      </c>
      <c r="AU15" s="1">
        <v>0</v>
      </c>
      <c r="AV15" s="1">
        <v>1.75</v>
      </c>
      <c r="AW15" s="1">
        <v>0</v>
      </c>
      <c r="AX15" s="1">
        <v>2.73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8">
        <v>63.6</v>
      </c>
      <c r="BF15" s="1">
        <v>0</v>
      </c>
      <c r="BG15" s="1">
        <v>0</v>
      </c>
      <c r="BH15" s="8">
        <v>36.4</v>
      </c>
      <c r="BI15" s="1">
        <v>3.91</v>
      </c>
      <c r="BJ15" s="1">
        <v>0</v>
      </c>
      <c r="BK15" s="1">
        <v>0</v>
      </c>
      <c r="BL15" s="1">
        <v>2.73</v>
      </c>
    </row>
    <row r="16" spans="1:65" x14ac:dyDescent="0.2">
      <c r="A16" s="4">
        <v>45731</v>
      </c>
      <c r="B16" s="1" t="s">
        <v>48</v>
      </c>
      <c r="C16" s="1" t="s">
        <v>190</v>
      </c>
      <c r="D16" s="9" t="s">
        <v>198</v>
      </c>
      <c r="E16" s="1" t="s">
        <v>80</v>
      </c>
      <c r="F16" s="1" t="s">
        <v>81</v>
      </c>
      <c r="G16" s="1">
        <v>10</v>
      </c>
      <c r="H16" s="1">
        <v>0.94499999999999995</v>
      </c>
      <c r="I16" s="1">
        <v>0.70699999999999996</v>
      </c>
      <c r="J16" s="1">
        <v>1.1919999999999999</v>
      </c>
      <c r="K16" s="1">
        <v>7.8E-2</v>
      </c>
      <c r="L16" s="1">
        <v>0</v>
      </c>
      <c r="M16" s="1">
        <v>1.0269999999999999</v>
      </c>
      <c r="N16" s="1">
        <v>10</v>
      </c>
      <c r="O16" s="1">
        <v>0.61</v>
      </c>
      <c r="P16" s="1">
        <v>0.51500000000000001</v>
      </c>
      <c r="Q16" s="1">
        <v>0.71499999999999997</v>
      </c>
      <c r="R16" s="1">
        <v>0.33500000000000002</v>
      </c>
      <c r="S16" s="1">
        <v>0.192</v>
      </c>
      <c r="T16" s="1">
        <v>0.47799999999999998</v>
      </c>
      <c r="U16" s="1">
        <v>0</v>
      </c>
      <c r="V16" s="1">
        <v>0.86699999999999999</v>
      </c>
      <c r="W16" s="1">
        <v>0.629</v>
      </c>
      <c r="X16" s="1">
        <v>1.1140000000000001</v>
      </c>
      <c r="Y16" s="8">
        <v>11.3</v>
      </c>
      <c r="Z16" s="1">
        <v>80.819999999999993</v>
      </c>
      <c r="AA16" s="1">
        <v>0</v>
      </c>
      <c r="AB16" s="1">
        <v>0</v>
      </c>
      <c r="AC16" s="1">
        <v>0</v>
      </c>
      <c r="AD16" s="1">
        <v>0</v>
      </c>
      <c r="AE16" s="1">
        <v>32.520000000000003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6">
        <v>7.89</v>
      </c>
      <c r="AM16" s="1">
        <v>2</v>
      </c>
      <c r="AN16" s="1">
        <v>0</v>
      </c>
      <c r="AO16" s="6">
        <f t="shared" si="0"/>
        <v>0.94500000000000006</v>
      </c>
      <c r="AP16" s="7">
        <f t="shared" si="2"/>
        <v>0.8670000000000001</v>
      </c>
      <c r="AQ16" s="6">
        <f t="shared" si="1"/>
        <v>7.8E-2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0.11</v>
      </c>
      <c r="BA16" s="8">
        <v>0.5</v>
      </c>
      <c r="BB16" s="1">
        <v>0</v>
      </c>
      <c r="BC16" s="1">
        <v>0</v>
      </c>
      <c r="BD16" s="1">
        <v>0</v>
      </c>
      <c r="BE16" s="1">
        <v>72.41</v>
      </c>
      <c r="BF16" s="1">
        <v>0</v>
      </c>
      <c r="BG16" s="1">
        <v>0</v>
      </c>
      <c r="BH16" s="1">
        <v>27.59</v>
      </c>
      <c r="BI16" s="8">
        <v>0.5</v>
      </c>
      <c r="BJ16" s="1">
        <v>0</v>
      </c>
      <c r="BK16" s="1">
        <v>0</v>
      </c>
      <c r="BL16" s="1">
        <v>0.11</v>
      </c>
    </row>
    <row r="17" spans="1:64" x14ac:dyDescent="0.2">
      <c r="A17" s="4">
        <v>45735</v>
      </c>
      <c r="B17" s="1" t="s">
        <v>48</v>
      </c>
      <c r="C17" s="1" t="s">
        <v>190</v>
      </c>
      <c r="D17" s="9" t="s">
        <v>198</v>
      </c>
      <c r="E17" s="1" t="s">
        <v>83</v>
      </c>
      <c r="F17" s="1" t="s">
        <v>82</v>
      </c>
      <c r="G17" s="1">
        <v>11</v>
      </c>
      <c r="H17" s="1">
        <v>2.585</v>
      </c>
      <c r="I17" s="6">
        <v>1.88</v>
      </c>
      <c r="J17" s="1">
        <v>3.38</v>
      </c>
      <c r="K17" s="6">
        <v>9.7000000000000003E-2</v>
      </c>
      <c r="L17" s="1">
        <v>5.8999999999999997E-2</v>
      </c>
      <c r="M17" s="1">
        <v>1.294</v>
      </c>
      <c r="N17" s="1">
        <v>10</v>
      </c>
      <c r="O17" s="1">
        <v>2.2559999999999998</v>
      </c>
      <c r="P17" s="1">
        <v>1.6910000000000001</v>
      </c>
      <c r="Q17" s="1">
        <v>2.911</v>
      </c>
      <c r="R17" s="1">
        <v>0.32900000000000001</v>
      </c>
      <c r="S17" s="1">
        <v>0.189</v>
      </c>
      <c r="T17" s="1">
        <v>0.46899999999999997</v>
      </c>
      <c r="U17" s="1">
        <v>0</v>
      </c>
      <c r="V17" s="1">
        <v>2.4289999999999998</v>
      </c>
      <c r="W17" s="1">
        <v>1.7250000000000001</v>
      </c>
      <c r="X17" s="1">
        <v>3.2250000000000001</v>
      </c>
      <c r="Y17" s="1">
        <v>14.22</v>
      </c>
      <c r="Z17" s="1">
        <v>61.98</v>
      </c>
      <c r="AA17" s="1">
        <v>0</v>
      </c>
      <c r="AB17" s="1">
        <v>0</v>
      </c>
      <c r="AC17" s="1">
        <v>0</v>
      </c>
      <c r="AD17" s="1">
        <v>0</v>
      </c>
      <c r="AE17" s="1">
        <v>39.32</v>
      </c>
      <c r="AF17" s="1">
        <v>22.51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4</v>
      </c>
      <c r="AN17" s="1">
        <v>0</v>
      </c>
      <c r="AO17" s="6">
        <f t="shared" si="0"/>
        <v>2.585</v>
      </c>
      <c r="AP17" s="7">
        <f t="shared" si="2"/>
        <v>2.4289999999999998</v>
      </c>
      <c r="AQ17" s="6">
        <f t="shared" si="1"/>
        <v>0.156</v>
      </c>
      <c r="AR17" s="1">
        <v>0</v>
      </c>
      <c r="AS17" s="1">
        <v>0.56999999999999995</v>
      </c>
      <c r="AT17" s="1">
        <v>0</v>
      </c>
      <c r="AU17" s="1">
        <v>0.21</v>
      </c>
      <c r="AV17" s="1">
        <v>0.16</v>
      </c>
      <c r="AW17" s="1">
        <v>0.18</v>
      </c>
      <c r="AX17" s="1">
        <v>0.84</v>
      </c>
      <c r="AY17" s="1">
        <v>0</v>
      </c>
      <c r="AZ17" s="1">
        <v>0</v>
      </c>
      <c r="BA17" s="8">
        <v>0.3</v>
      </c>
      <c r="BB17" s="1">
        <v>0</v>
      </c>
      <c r="BC17" s="1">
        <v>0</v>
      </c>
      <c r="BD17" s="1">
        <v>0</v>
      </c>
      <c r="BE17" s="1">
        <v>40.11</v>
      </c>
      <c r="BF17" s="1">
        <v>12.83</v>
      </c>
      <c r="BG17" s="1">
        <v>22.46</v>
      </c>
      <c r="BH17" s="8">
        <v>24.6</v>
      </c>
      <c r="BI17" s="1">
        <v>0.85</v>
      </c>
      <c r="BJ17" s="1">
        <v>0.21</v>
      </c>
      <c r="BK17" s="1">
        <v>0.37</v>
      </c>
      <c r="BL17" s="1">
        <v>0.84</v>
      </c>
    </row>
    <row r="18" spans="1:64" x14ac:dyDescent="0.2">
      <c r="A18" s="4">
        <v>45735</v>
      </c>
      <c r="B18" s="1" t="s">
        <v>48</v>
      </c>
      <c r="C18" s="1" t="s">
        <v>190</v>
      </c>
      <c r="D18" s="9" t="s">
        <v>198</v>
      </c>
      <c r="E18" s="1" t="s">
        <v>84</v>
      </c>
      <c r="F18" s="1" t="s">
        <v>85</v>
      </c>
      <c r="G18" s="1">
        <v>12</v>
      </c>
      <c r="H18" s="1">
        <v>6.641</v>
      </c>
      <c r="I18" s="1">
        <v>5.3520000000000003</v>
      </c>
      <c r="J18" s="1">
        <v>8.1110000000000007</v>
      </c>
      <c r="K18" s="6">
        <v>6.2E-2</v>
      </c>
      <c r="L18" s="1">
        <v>8.3000000000000004E-2</v>
      </c>
      <c r="M18" s="1">
        <v>1.2130000000000001</v>
      </c>
      <c r="N18" s="1">
        <v>10</v>
      </c>
      <c r="O18" s="1">
        <v>6.5279999999999996</v>
      </c>
      <c r="P18" s="1">
        <v>5.2869999999999999</v>
      </c>
      <c r="Q18" s="6">
        <v>7.95</v>
      </c>
      <c r="R18" s="1">
        <v>0.113</v>
      </c>
      <c r="S18" s="1">
        <v>6.5000000000000002E-2</v>
      </c>
      <c r="T18" s="1">
        <v>0.161</v>
      </c>
      <c r="U18" s="1">
        <v>0</v>
      </c>
      <c r="V18" s="1">
        <v>6.4960000000000004</v>
      </c>
      <c r="W18" s="6">
        <v>5.2069999999999999</v>
      </c>
      <c r="X18" s="1">
        <v>7.9660000000000002</v>
      </c>
      <c r="Y18" s="1">
        <v>38.71</v>
      </c>
      <c r="Z18" s="1">
        <v>21.72</v>
      </c>
      <c r="AA18" s="1">
        <v>0</v>
      </c>
      <c r="AB18" s="1">
        <v>0</v>
      </c>
      <c r="AC18" s="1">
        <v>0</v>
      </c>
      <c r="AD18" s="1">
        <v>0</v>
      </c>
      <c r="AE18" s="6">
        <v>2.56</v>
      </c>
      <c r="AF18" s="8">
        <v>34.29</v>
      </c>
      <c r="AG18" s="1">
        <v>0</v>
      </c>
      <c r="AH18" s="1">
        <v>0</v>
      </c>
      <c r="AI18" s="1">
        <v>0</v>
      </c>
      <c r="AJ18" s="1">
        <v>0</v>
      </c>
      <c r="AK18" s="8">
        <v>5.28</v>
      </c>
      <c r="AL18" s="1">
        <v>0</v>
      </c>
      <c r="AM18" s="1">
        <v>5</v>
      </c>
      <c r="AN18" s="1">
        <v>0</v>
      </c>
      <c r="AO18" s="6">
        <f t="shared" si="0"/>
        <v>6.641</v>
      </c>
      <c r="AP18" s="7">
        <f t="shared" si="2"/>
        <v>6.4960000000000004</v>
      </c>
      <c r="AQ18" s="6">
        <f t="shared" si="1"/>
        <v>0.14500000000000002</v>
      </c>
      <c r="AR18" s="1">
        <v>0.04</v>
      </c>
      <c r="AS18" s="1">
        <v>0.18</v>
      </c>
      <c r="AT18" s="1">
        <v>0</v>
      </c>
      <c r="AU18" s="1">
        <v>0.28000000000000003</v>
      </c>
      <c r="AV18" s="1">
        <v>0.71</v>
      </c>
      <c r="AW18" s="8">
        <v>0.67</v>
      </c>
      <c r="AX18" s="1">
        <v>3.54</v>
      </c>
      <c r="AY18" s="1">
        <v>0.21</v>
      </c>
      <c r="AZ18" s="1">
        <v>0</v>
      </c>
      <c r="BA18" s="8">
        <v>0.67</v>
      </c>
      <c r="BB18" s="1">
        <v>0</v>
      </c>
      <c r="BC18" s="1">
        <v>0</v>
      </c>
      <c r="BD18" s="1">
        <v>0</v>
      </c>
      <c r="BE18" s="1">
        <v>16.43</v>
      </c>
      <c r="BF18" s="1">
        <v>6.61</v>
      </c>
      <c r="BG18" s="1">
        <v>30.46</v>
      </c>
      <c r="BH18" s="1">
        <v>46.49</v>
      </c>
      <c r="BI18" s="1">
        <v>1.17</v>
      </c>
      <c r="BJ18" s="1">
        <v>0.28000000000000003</v>
      </c>
      <c r="BK18" s="1">
        <v>1.33</v>
      </c>
      <c r="BL18" s="1">
        <v>3.74</v>
      </c>
    </row>
    <row r="19" spans="1:64" x14ac:dyDescent="0.2">
      <c r="A19" s="4">
        <v>45721</v>
      </c>
      <c r="B19" s="1" t="s">
        <v>48</v>
      </c>
      <c r="C19" s="1" t="s">
        <v>190</v>
      </c>
      <c r="D19" s="10" t="s">
        <v>199</v>
      </c>
      <c r="E19" s="1" t="s">
        <v>86</v>
      </c>
      <c r="F19" s="1" t="s">
        <v>87</v>
      </c>
      <c r="G19" s="1">
        <v>1</v>
      </c>
      <c r="H19" s="1">
        <v>4.7880000000000003</v>
      </c>
      <c r="I19" s="1">
        <v>3.6840000000000002</v>
      </c>
      <c r="J19" s="1">
        <v>6.0970000000000004</v>
      </c>
      <c r="K19" s="1">
        <v>2.9000000000000001E-2</v>
      </c>
      <c r="L19" s="1">
        <v>6.4000000000000001E-2</v>
      </c>
      <c r="M19" s="1">
        <v>1.1870000000000001</v>
      </c>
      <c r="N19" s="1">
        <v>10</v>
      </c>
      <c r="O19" s="1">
        <v>4.7880000000000003</v>
      </c>
      <c r="P19" s="1">
        <v>3.6840000000000002</v>
      </c>
      <c r="Q19" s="1">
        <v>6.0970000000000004</v>
      </c>
      <c r="R19" s="1">
        <v>0</v>
      </c>
      <c r="S19" s="1">
        <v>0</v>
      </c>
      <c r="T19" s="1">
        <v>0</v>
      </c>
      <c r="U19" s="6">
        <f>(((0.0029*70^1.6624)*6)*365)/1000</f>
        <v>7.4153745902852046</v>
      </c>
      <c r="V19" s="1">
        <v>4.6950000000000003</v>
      </c>
      <c r="W19" s="1">
        <v>3.5910000000000002</v>
      </c>
      <c r="X19" s="6">
        <v>6.0039999999999996</v>
      </c>
      <c r="Y19" s="1">
        <v>26.87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6">
        <v>0.84</v>
      </c>
      <c r="AF19" s="8">
        <v>27.89</v>
      </c>
      <c r="AG19" s="1">
        <v>0</v>
      </c>
      <c r="AH19" s="1">
        <v>0</v>
      </c>
      <c r="AI19" s="1">
        <v>0.4</v>
      </c>
      <c r="AJ19" s="1">
        <v>0</v>
      </c>
      <c r="AK19" s="8">
        <v>44.4</v>
      </c>
      <c r="AL19" s="1">
        <v>0</v>
      </c>
      <c r="AM19" s="1">
        <v>3</v>
      </c>
      <c r="AN19" s="1">
        <v>0</v>
      </c>
      <c r="AO19" s="6">
        <f t="shared" si="0"/>
        <v>4.7880000000000003</v>
      </c>
      <c r="AP19" s="7">
        <f t="shared" si="2"/>
        <v>-2.7203745902852043</v>
      </c>
      <c r="AQ19" s="6">
        <f t="shared" si="1"/>
        <v>7.5083745902852046</v>
      </c>
      <c r="AR19" s="1">
        <v>1.91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2.65</v>
      </c>
      <c r="AY19" s="1">
        <v>0.23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39.81</v>
      </c>
      <c r="BF19" s="1">
        <v>0</v>
      </c>
      <c r="BG19" s="1">
        <v>0</v>
      </c>
      <c r="BH19" s="1">
        <v>60.19</v>
      </c>
      <c r="BI19" s="1">
        <v>1.91</v>
      </c>
      <c r="BJ19" s="1">
        <v>0</v>
      </c>
      <c r="BK19" s="1">
        <v>0</v>
      </c>
      <c r="BL19" s="1">
        <v>2.88</v>
      </c>
    </row>
    <row r="20" spans="1:64" x14ac:dyDescent="0.2">
      <c r="A20" s="4">
        <v>45721</v>
      </c>
      <c r="B20" s="1" t="s">
        <v>48</v>
      </c>
      <c r="C20" s="1" t="s">
        <v>190</v>
      </c>
      <c r="D20" s="10" t="s">
        <v>199</v>
      </c>
      <c r="E20" s="1" t="s">
        <v>88</v>
      </c>
      <c r="F20" s="1" t="s">
        <v>89</v>
      </c>
      <c r="G20" s="1">
        <v>2</v>
      </c>
      <c r="H20" s="1">
        <v>1.974</v>
      </c>
      <c r="I20" s="1">
        <v>1.3839999999999999</v>
      </c>
      <c r="J20" s="1">
        <v>2.673</v>
      </c>
      <c r="K20" s="1">
        <v>2.1999999999999999E-2</v>
      </c>
      <c r="L20" s="1">
        <v>2.8000000000000001E-2</v>
      </c>
      <c r="M20" s="1">
        <v>1.0660000000000001</v>
      </c>
      <c r="N20" s="1">
        <v>10</v>
      </c>
      <c r="O20" s="1">
        <v>1.9319999999999999</v>
      </c>
      <c r="P20" s="6">
        <v>1.36</v>
      </c>
      <c r="Q20" s="1">
        <v>2.613</v>
      </c>
      <c r="R20" s="1">
        <v>4.2000000000000003E-2</v>
      </c>
      <c r="S20" s="1">
        <v>2.4E-2</v>
      </c>
      <c r="T20" s="1">
        <v>5.8999999999999997E-2</v>
      </c>
      <c r="U20" s="6">
        <f>(((0.0029*90^1.6624)*2)*365)/1000</f>
        <v>3.7536485330502654</v>
      </c>
      <c r="V20" s="1">
        <v>1.9239999999999999</v>
      </c>
      <c r="W20" s="1">
        <v>1.3340000000000001</v>
      </c>
      <c r="X20" s="1">
        <v>2.6230000000000002</v>
      </c>
      <c r="Y20" s="1">
        <v>15.29</v>
      </c>
      <c r="Z20" s="6">
        <v>9.66</v>
      </c>
      <c r="AA20" s="1">
        <v>0</v>
      </c>
      <c r="AB20" s="1">
        <v>0</v>
      </c>
      <c r="AC20" s="1">
        <v>0</v>
      </c>
      <c r="AD20" s="1">
        <v>0</v>
      </c>
      <c r="AE20" s="6">
        <v>9.66</v>
      </c>
      <c r="AF20" s="6">
        <v>14.07</v>
      </c>
      <c r="AG20" s="1">
        <v>0</v>
      </c>
      <c r="AH20" s="1">
        <v>0</v>
      </c>
      <c r="AI20" s="1">
        <v>0</v>
      </c>
      <c r="AJ20" s="1">
        <v>0</v>
      </c>
      <c r="AK20" s="1">
        <v>60.98</v>
      </c>
      <c r="AL20" s="1">
        <v>0</v>
      </c>
      <c r="AM20" s="1">
        <v>2</v>
      </c>
      <c r="AN20" s="1">
        <v>0</v>
      </c>
      <c r="AO20" s="6">
        <f t="shared" si="0"/>
        <v>1.974</v>
      </c>
      <c r="AP20" s="7">
        <f t="shared" si="2"/>
        <v>-1.8296485330502652</v>
      </c>
      <c r="AQ20" s="6">
        <f t="shared" si="1"/>
        <v>3.8036485330502652</v>
      </c>
      <c r="AR20" s="1">
        <v>0</v>
      </c>
      <c r="AS20" s="1">
        <v>0</v>
      </c>
      <c r="AT20" s="1">
        <v>0</v>
      </c>
      <c r="AU20" s="1">
        <v>0.36</v>
      </c>
      <c r="AV20" s="1">
        <v>1.43</v>
      </c>
      <c r="AW20" s="1">
        <v>0</v>
      </c>
      <c r="AX20" s="1">
        <v>0</v>
      </c>
      <c r="AY20" s="1">
        <v>0</v>
      </c>
      <c r="AZ20" s="1">
        <v>0.14000000000000001</v>
      </c>
      <c r="BA20" s="1">
        <v>0</v>
      </c>
      <c r="BB20" s="1">
        <v>0</v>
      </c>
      <c r="BC20" s="1">
        <v>0</v>
      </c>
      <c r="BD20" s="1">
        <v>0</v>
      </c>
      <c r="BE20" s="1">
        <v>55.83</v>
      </c>
      <c r="BF20" s="1">
        <v>25.77</v>
      </c>
      <c r="BG20" s="1">
        <v>0</v>
      </c>
      <c r="BH20" s="8">
        <v>18.399999999999999</v>
      </c>
      <c r="BI20" s="1">
        <v>1.43</v>
      </c>
      <c r="BJ20" s="1">
        <v>0.36</v>
      </c>
      <c r="BK20" s="1">
        <v>0</v>
      </c>
      <c r="BL20" s="1">
        <v>0.14000000000000001</v>
      </c>
    </row>
    <row r="21" spans="1:64" x14ac:dyDescent="0.2">
      <c r="A21" s="4">
        <v>45721</v>
      </c>
      <c r="B21" s="1" t="s">
        <v>48</v>
      </c>
      <c r="C21" s="1" t="s">
        <v>190</v>
      </c>
      <c r="D21" s="10" t="s">
        <v>199</v>
      </c>
      <c r="E21" s="1" t="s">
        <v>90</v>
      </c>
      <c r="F21" s="1" t="s">
        <v>91</v>
      </c>
      <c r="G21" s="1">
        <v>3</v>
      </c>
      <c r="H21" s="1">
        <v>2.1560000000000001</v>
      </c>
      <c r="I21" s="6">
        <v>1.44</v>
      </c>
      <c r="J21" s="1">
        <v>3.0219999999999998</v>
      </c>
      <c r="K21" s="6">
        <v>7.0000000000000001E-3</v>
      </c>
      <c r="L21" s="1">
        <v>1.4E-2</v>
      </c>
      <c r="M21" s="1">
        <v>1.115</v>
      </c>
      <c r="N21" s="1">
        <v>10</v>
      </c>
      <c r="O21" s="1">
        <v>2.1560000000000001</v>
      </c>
      <c r="P21" s="6">
        <v>1.44</v>
      </c>
      <c r="Q21" s="1">
        <v>3.0219999999999998</v>
      </c>
      <c r="R21" s="1">
        <v>0</v>
      </c>
      <c r="S21" s="1">
        <v>0</v>
      </c>
      <c r="T21" s="1">
        <v>0</v>
      </c>
      <c r="U21" s="1">
        <v>0</v>
      </c>
      <c r="V21" s="1">
        <v>2.1349999999999998</v>
      </c>
      <c r="W21" s="6">
        <v>1.419</v>
      </c>
      <c r="X21" s="1">
        <v>3.0009999999999999</v>
      </c>
      <c r="Y21" s="1">
        <v>15.87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6.91</v>
      </c>
      <c r="AG21" s="1">
        <v>0</v>
      </c>
      <c r="AH21" s="1">
        <v>0</v>
      </c>
      <c r="AI21" s="1">
        <v>0</v>
      </c>
      <c r="AJ21" s="1">
        <v>0</v>
      </c>
      <c r="AK21" s="1">
        <v>77.22</v>
      </c>
      <c r="AL21" s="1">
        <v>0</v>
      </c>
      <c r="AM21" s="1">
        <v>2</v>
      </c>
      <c r="AN21" s="1">
        <v>0</v>
      </c>
      <c r="AO21" s="6">
        <f t="shared" si="0"/>
        <v>2.1560000000000001</v>
      </c>
      <c r="AP21" s="7">
        <f t="shared" si="2"/>
        <v>2.1350000000000002</v>
      </c>
      <c r="AQ21" s="6">
        <f t="shared" si="1"/>
        <v>2.1000000000000001E-2</v>
      </c>
      <c r="AR21" s="1">
        <v>0</v>
      </c>
      <c r="AS21" s="1">
        <v>0</v>
      </c>
      <c r="AT21" s="1">
        <v>0</v>
      </c>
      <c r="AU21" s="1">
        <v>0.76</v>
      </c>
      <c r="AV21" s="8">
        <v>1.4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50.28</v>
      </c>
      <c r="BF21" s="1">
        <v>49.72</v>
      </c>
      <c r="BG21" s="1">
        <v>0</v>
      </c>
      <c r="BH21" s="1">
        <v>0</v>
      </c>
      <c r="BI21" s="8">
        <v>1.4</v>
      </c>
      <c r="BJ21" s="1">
        <v>0.76</v>
      </c>
      <c r="BK21" s="1">
        <v>0</v>
      </c>
      <c r="BL21" s="1">
        <v>0</v>
      </c>
    </row>
    <row r="22" spans="1:64" x14ac:dyDescent="0.2">
      <c r="A22" s="4">
        <v>45731</v>
      </c>
      <c r="B22" s="1" t="s">
        <v>48</v>
      </c>
      <c r="C22" s="1" t="s">
        <v>190</v>
      </c>
      <c r="D22" s="10" t="s">
        <v>199</v>
      </c>
      <c r="E22" s="1" t="s">
        <v>92</v>
      </c>
      <c r="F22" s="1" t="s">
        <v>93</v>
      </c>
      <c r="G22" s="1">
        <v>4</v>
      </c>
      <c r="H22" s="1">
        <v>1.716</v>
      </c>
      <c r="I22" s="1">
        <v>1.171</v>
      </c>
      <c r="J22" s="1">
        <v>2.3490000000000002</v>
      </c>
      <c r="K22" s="1">
        <v>8.9999999999999993E-3</v>
      </c>
      <c r="L22" s="1">
        <v>0</v>
      </c>
      <c r="M22" s="1">
        <v>1.3240000000000001</v>
      </c>
      <c r="N22" s="1">
        <v>10</v>
      </c>
      <c r="O22" s="1">
        <v>1.6719999999999999</v>
      </c>
      <c r="P22" s="1">
        <v>1.1459999999999999</v>
      </c>
      <c r="Q22" s="1">
        <v>2.286</v>
      </c>
      <c r="R22" s="1">
        <v>4.3999999999999997E-2</v>
      </c>
      <c r="S22" s="1">
        <v>2.5000000000000001E-2</v>
      </c>
      <c r="T22" s="1">
        <v>6.3E-2</v>
      </c>
      <c r="U22" s="1">
        <v>0</v>
      </c>
      <c r="V22" s="1">
        <v>1.7070000000000001</v>
      </c>
      <c r="W22" s="1">
        <v>1.1619999999999999</v>
      </c>
      <c r="X22" s="6">
        <v>2.34</v>
      </c>
      <c r="Y22" s="1">
        <v>21.45</v>
      </c>
      <c r="Z22" s="1">
        <v>8.31</v>
      </c>
      <c r="AA22" s="1">
        <v>0</v>
      </c>
      <c r="AB22" s="1">
        <v>0</v>
      </c>
      <c r="AC22" s="1">
        <v>0</v>
      </c>
      <c r="AD22" s="1">
        <v>0</v>
      </c>
      <c r="AE22" s="6">
        <v>6.8</v>
      </c>
      <c r="AF22" s="1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70.239999999999995</v>
      </c>
      <c r="AL22" s="1">
        <v>0</v>
      </c>
      <c r="AM22" s="1">
        <v>2</v>
      </c>
      <c r="AN22" s="1">
        <v>0</v>
      </c>
      <c r="AO22" s="6">
        <f t="shared" si="0"/>
        <v>1.716</v>
      </c>
      <c r="AP22" s="7">
        <f>(AO22)-(AQ22)</f>
        <v>1.7070000000000001</v>
      </c>
      <c r="AQ22" s="6">
        <f t="shared" si="1"/>
        <v>8.9999999999999993E-3</v>
      </c>
      <c r="AR22" s="1">
        <v>0</v>
      </c>
      <c r="AS22" s="1">
        <v>1.37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0.31</v>
      </c>
      <c r="BA22" s="1">
        <v>0</v>
      </c>
      <c r="BB22" s="1">
        <v>0</v>
      </c>
      <c r="BC22" s="1">
        <v>0</v>
      </c>
      <c r="BD22" s="1">
        <v>0</v>
      </c>
      <c r="BE22" s="1">
        <v>42.61</v>
      </c>
      <c r="BF22" s="1">
        <v>0</v>
      </c>
      <c r="BG22" s="1">
        <v>0</v>
      </c>
      <c r="BH22" s="1">
        <v>57.39</v>
      </c>
      <c r="BI22" s="1">
        <v>1.37</v>
      </c>
      <c r="BJ22" s="1">
        <v>0</v>
      </c>
      <c r="BK22" s="1">
        <v>0</v>
      </c>
      <c r="BL22" s="1">
        <v>0.31</v>
      </c>
    </row>
    <row r="23" spans="1:64" x14ac:dyDescent="0.2">
      <c r="A23" s="4">
        <v>45731</v>
      </c>
      <c r="B23" s="1" t="s">
        <v>48</v>
      </c>
      <c r="C23" s="1" t="s">
        <v>190</v>
      </c>
      <c r="D23" s="10" t="s">
        <v>199</v>
      </c>
      <c r="E23" s="1" t="s">
        <v>94</v>
      </c>
      <c r="F23" s="1" t="s">
        <v>95</v>
      </c>
      <c r="G23" s="1">
        <v>5</v>
      </c>
      <c r="H23" s="1">
        <v>2.5539999999999998</v>
      </c>
      <c r="I23" s="1">
        <v>1.796</v>
      </c>
      <c r="J23" s="1">
        <v>3.4630000000000001</v>
      </c>
      <c r="K23" s="1">
        <v>1.4E-2</v>
      </c>
      <c r="L23" s="1">
        <v>0</v>
      </c>
      <c r="M23" s="1">
        <v>1.139</v>
      </c>
      <c r="N23" s="1">
        <v>10</v>
      </c>
      <c r="O23" s="1">
        <v>2.4870000000000001</v>
      </c>
      <c r="P23" s="1">
        <v>1.7569999999999999</v>
      </c>
      <c r="Q23" s="1">
        <v>3.367</v>
      </c>
      <c r="R23" s="1">
        <v>6.7000000000000004E-2</v>
      </c>
      <c r="S23" s="1">
        <v>3.9E-2</v>
      </c>
      <c r="T23" s="1">
        <v>9.6000000000000002E-2</v>
      </c>
      <c r="U23" s="1">
        <v>0</v>
      </c>
      <c r="V23" s="6">
        <v>2.54</v>
      </c>
      <c r="W23" s="1">
        <v>1.782</v>
      </c>
      <c r="X23" s="1">
        <v>3.4489999999999998</v>
      </c>
      <c r="Y23" s="8">
        <v>19.399999999999999</v>
      </c>
      <c r="Z23" s="1">
        <v>14.66</v>
      </c>
      <c r="AA23" s="1">
        <v>0</v>
      </c>
      <c r="AB23" s="1">
        <v>0</v>
      </c>
      <c r="AC23" s="1">
        <v>0</v>
      </c>
      <c r="AD23" s="1">
        <v>0</v>
      </c>
      <c r="AE23" s="8">
        <v>14.4</v>
      </c>
      <c r="AF23" s="1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65.94</v>
      </c>
      <c r="AL23" s="1">
        <v>0</v>
      </c>
      <c r="AM23" s="1">
        <v>5</v>
      </c>
      <c r="AN23" s="1">
        <v>0</v>
      </c>
      <c r="AO23" s="6">
        <f t="shared" si="0"/>
        <v>2.5540000000000003</v>
      </c>
      <c r="AP23" s="7">
        <f t="shared" si="2"/>
        <v>2.5400000000000005</v>
      </c>
      <c r="AQ23" s="6">
        <f t="shared" si="1"/>
        <v>1.4E-2</v>
      </c>
      <c r="AR23" s="1">
        <v>0</v>
      </c>
      <c r="AS23" s="1">
        <v>0.81</v>
      </c>
      <c r="AT23" s="1">
        <v>0</v>
      </c>
      <c r="AU23" s="1">
        <v>0</v>
      </c>
      <c r="AV23" s="1">
        <v>0.16</v>
      </c>
      <c r="AW23" s="1">
        <v>0</v>
      </c>
      <c r="AX23" s="1">
        <v>0.89</v>
      </c>
      <c r="AY23" s="1">
        <v>0.45</v>
      </c>
      <c r="AZ23" s="1">
        <v>0.11</v>
      </c>
      <c r="BA23" s="1">
        <v>0.06</v>
      </c>
      <c r="BB23" s="1">
        <v>0</v>
      </c>
      <c r="BC23" s="1">
        <v>0</v>
      </c>
      <c r="BD23" s="1">
        <v>0</v>
      </c>
      <c r="BE23" s="8">
        <v>37.1</v>
      </c>
      <c r="BF23" s="1">
        <v>0</v>
      </c>
      <c r="BG23" s="1">
        <v>0</v>
      </c>
      <c r="BH23" s="8">
        <v>62.9</v>
      </c>
      <c r="BI23" s="1">
        <v>0.97</v>
      </c>
      <c r="BJ23" s="1">
        <v>0</v>
      </c>
      <c r="BK23" s="1">
        <v>0</v>
      </c>
      <c r="BL23" s="1">
        <v>1.52</v>
      </c>
    </row>
    <row r="24" spans="1:64" x14ac:dyDescent="0.2">
      <c r="A24" s="4">
        <v>45731</v>
      </c>
      <c r="B24" s="1" t="s">
        <v>48</v>
      </c>
      <c r="C24" s="1" t="s">
        <v>190</v>
      </c>
      <c r="D24" s="10" t="s">
        <v>199</v>
      </c>
      <c r="E24" s="1" t="s">
        <v>96</v>
      </c>
      <c r="F24" s="1" t="s">
        <v>97</v>
      </c>
      <c r="G24" s="1">
        <v>6</v>
      </c>
      <c r="H24" s="1">
        <v>1.379</v>
      </c>
      <c r="I24" s="1">
        <v>1.1559999999999999</v>
      </c>
      <c r="J24" s="1">
        <v>1.609</v>
      </c>
      <c r="K24" s="1">
        <v>1.2999999999999999E-2</v>
      </c>
      <c r="L24" s="1">
        <v>1.4E-2</v>
      </c>
      <c r="M24" s="1">
        <v>1.0669999999999999</v>
      </c>
      <c r="N24" s="1">
        <v>10</v>
      </c>
      <c r="O24" s="1">
        <v>1.347</v>
      </c>
      <c r="P24" s="1">
        <v>1.1379999999999999</v>
      </c>
      <c r="Q24" s="1">
        <v>1.5649999999999999</v>
      </c>
      <c r="R24" s="1">
        <v>3.1E-2</v>
      </c>
      <c r="S24" s="1">
        <v>1.7999999999999999E-2</v>
      </c>
      <c r="T24" s="1">
        <v>4.3999999999999997E-2</v>
      </c>
      <c r="U24" s="1">
        <v>0</v>
      </c>
      <c r="V24" s="1">
        <v>1.3520000000000001</v>
      </c>
      <c r="W24" s="1">
        <v>1.129</v>
      </c>
      <c r="X24" s="1">
        <v>1.583</v>
      </c>
      <c r="Y24" s="8">
        <v>10.4</v>
      </c>
      <c r="Z24" s="1">
        <v>7.22</v>
      </c>
      <c r="AA24" s="1">
        <v>0</v>
      </c>
      <c r="AB24" s="1">
        <v>0</v>
      </c>
      <c r="AC24" s="1">
        <v>0</v>
      </c>
      <c r="AD24" s="1">
        <v>0</v>
      </c>
      <c r="AE24" s="6">
        <v>1.31</v>
      </c>
      <c r="AF24" s="8">
        <v>6.84</v>
      </c>
      <c r="AG24" s="1">
        <v>0</v>
      </c>
      <c r="AH24" s="1">
        <v>0</v>
      </c>
      <c r="AI24" s="1">
        <v>0</v>
      </c>
      <c r="AJ24" s="1">
        <v>0</v>
      </c>
      <c r="AK24" s="1">
        <v>75.540000000000006</v>
      </c>
      <c r="AL24" s="1">
        <v>0</v>
      </c>
      <c r="AM24" s="1">
        <v>2</v>
      </c>
      <c r="AN24" s="1">
        <v>0</v>
      </c>
      <c r="AO24" s="6">
        <f t="shared" si="0"/>
        <v>1.3779999999999999</v>
      </c>
      <c r="AP24" s="7">
        <f t="shared" si="2"/>
        <v>1.351</v>
      </c>
      <c r="AQ24" s="6">
        <f t="shared" si="1"/>
        <v>2.7E-2</v>
      </c>
      <c r="AR24" s="1">
        <v>0</v>
      </c>
      <c r="AS24" s="1">
        <v>0</v>
      </c>
      <c r="AT24" s="1">
        <v>0</v>
      </c>
      <c r="AU24" s="1">
        <v>0</v>
      </c>
      <c r="AV24" s="1">
        <v>0.25</v>
      </c>
      <c r="AW24" s="1">
        <v>0</v>
      </c>
      <c r="AX24" s="1">
        <v>0.83</v>
      </c>
      <c r="AY24" s="1">
        <v>0</v>
      </c>
      <c r="AZ24" s="1">
        <v>0.26</v>
      </c>
      <c r="BA24" s="1">
        <v>0</v>
      </c>
      <c r="BB24" s="1">
        <v>0</v>
      </c>
      <c r="BC24" s="1">
        <v>0</v>
      </c>
      <c r="BD24" s="1">
        <v>0</v>
      </c>
      <c r="BE24" s="1">
        <v>10.81</v>
      </c>
      <c r="BF24" s="1">
        <v>0</v>
      </c>
      <c r="BG24" s="1">
        <v>0</v>
      </c>
      <c r="BH24" s="1">
        <v>89.19</v>
      </c>
      <c r="BI24" s="1">
        <v>0.25</v>
      </c>
      <c r="BJ24" s="1">
        <v>0</v>
      </c>
      <c r="BK24" s="1">
        <v>0</v>
      </c>
      <c r="BL24" s="1">
        <v>1.0900000000000001</v>
      </c>
    </row>
    <row r="25" spans="1:64" x14ac:dyDescent="0.2">
      <c r="A25" s="4">
        <v>45735</v>
      </c>
      <c r="B25" s="1" t="s">
        <v>48</v>
      </c>
      <c r="C25" s="1" t="s">
        <v>190</v>
      </c>
      <c r="D25" s="10" t="s">
        <v>199</v>
      </c>
      <c r="E25" s="1" t="s">
        <v>98</v>
      </c>
      <c r="F25" s="1" t="s">
        <v>99</v>
      </c>
      <c r="G25" s="1">
        <v>7</v>
      </c>
      <c r="H25" s="1">
        <v>5.306</v>
      </c>
      <c r="I25" s="1">
        <v>4.1609999999999996</v>
      </c>
      <c r="J25" s="1">
        <v>6.6109999999999998</v>
      </c>
      <c r="K25" s="1">
        <v>2.5999999999999999E-2</v>
      </c>
      <c r="L25" s="1">
        <v>4.1000000000000002E-2</v>
      </c>
      <c r="M25" s="1">
        <v>1.1240000000000001</v>
      </c>
      <c r="N25" s="1">
        <v>10</v>
      </c>
      <c r="O25" s="1">
        <v>5.2709999999999999</v>
      </c>
      <c r="P25" s="1">
        <v>4.141</v>
      </c>
      <c r="Q25" s="6">
        <v>6.56</v>
      </c>
      <c r="R25" s="1">
        <v>3.5000000000000003E-2</v>
      </c>
      <c r="S25" s="6">
        <v>0.02</v>
      </c>
      <c r="T25" s="6">
        <v>0.05</v>
      </c>
      <c r="U25" s="1">
        <v>0</v>
      </c>
      <c r="V25" s="1">
        <v>5.2380000000000004</v>
      </c>
      <c r="W25" s="6">
        <v>4.0940000000000003</v>
      </c>
      <c r="X25" s="1">
        <v>6.5430000000000001</v>
      </c>
      <c r="Y25" s="1">
        <v>29.36</v>
      </c>
      <c r="Z25" s="1">
        <v>7.74</v>
      </c>
      <c r="AA25" s="1">
        <v>0</v>
      </c>
      <c r="AB25" s="1">
        <v>0</v>
      </c>
      <c r="AC25" s="1">
        <v>0</v>
      </c>
      <c r="AD25" s="1">
        <v>0</v>
      </c>
      <c r="AE25" s="6">
        <v>7.74</v>
      </c>
      <c r="AF25" s="8">
        <v>19.57</v>
      </c>
      <c r="AG25" s="1">
        <v>0</v>
      </c>
      <c r="AH25" s="1">
        <v>0</v>
      </c>
      <c r="AI25" s="1">
        <v>0</v>
      </c>
      <c r="AJ25" s="1">
        <v>0</v>
      </c>
      <c r="AK25" s="1">
        <v>43.33</v>
      </c>
      <c r="AL25" s="1">
        <v>0</v>
      </c>
      <c r="AM25" s="1">
        <v>2</v>
      </c>
      <c r="AN25" s="1">
        <v>0</v>
      </c>
      <c r="AO25" s="6">
        <f t="shared" si="0"/>
        <v>5.306</v>
      </c>
      <c r="AP25" s="7">
        <f t="shared" si="2"/>
        <v>5.2389999999999999</v>
      </c>
      <c r="AQ25" s="6">
        <f t="shared" si="1"/>
        <v>6.7000000000000004E-2</v>
      </c>
      <c r="AR25" s="1">
        <v>0</v>
      </c>
      <c r="AS25" s="1">
        <v>0</v>
      </c>
      <c r="AT25" s="1">
        <v>0</v>
      </c>
      <c r="AU25" s="1">
        <v>0</v>
      </c>
      <c r="AV25" s="8">
        <v>3.1</v>
      </c>
      <c r="AW25" s="1">
        <v>0</v>
      </c>
      <c r="AX25" s="1">
        <v>2.17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8">
        <v>59.7</v>
      </c>
      <c r="BF25" s="1">
        <v>0</v>
      </c>
      <c r="BG25" s="1">
        <v>0</v>
      </c>
      <c r="BH25" s="8">
        <v>40.299999999999997</v>
      </c>
      <c r="BI25" s="8">
        <v>3.1</v>
      </c>
      <c r="BJ25" s="1">
        <v>0</v>
      </c>
      <c r="BK25" s="1">
        <v>0</v>
      </c>
      <c r="BL25" s="1">
        <v>2.17</v>
      </c>
    </row>
    <row r="26" spans="1:64" x14ac:dyDescent="0.2">
      <c r="A26" s="4">
        <v>45721</v>
      </c>
      <c r="B26" s="1" t="s">
        <v>48</v>
      </c>
      <c r="C26" s="1" t="s">
        <v>190</v>
      </c>
      <c r="D26" s="17" t="s">
        <v>200</v>
      </c>
      <c r="E26" s="1" t="s">
        <v>100</v>
      </c>
      <c r="F26" s="1" t="s">
        <v>101</v>
      </c>
      <c r="G26" s="1">
        <v>1</v>
      </c>
      <c r="H26" s="1">
        <v>0.44800000000000001</v>
      </c>
      <c r="I26" s="1">
        <v>0.39200000000000002</v>
      </c>
      <c r="J26" s="1">
        <v>0.50700000000000001</v>
      </c>
      <c r="K26" s="1">
        <v>6.8000000000000005E-2</v>
      </c>
      <c r="L26" s="1">
        <v>0.14699999999999999</v>
      </c>
      <c r="M26" s="1">
        <v>1.081</v>
      </c>
      <c r="N26" s="1">
        <v>10</v>
      </c>
      <c r="O26" s="1">
        <v>0.44800000000000001</v>
      </c>
      <c r="P26" s="1">
        <v>0.39200000000000002</v>
      </c>
      <c r="Q26" s="1">
        <v>0.50700000000000001</v>
      </c>
      <c r="R26" s="1">
        <v>0</v>
      </c>
      <c r="S26" s="1">
        <v>0</v>
      </c>
      <c r="T26" s="1">
        <v>0</v>
      </c>
      <c r="U26" s="1">
        <v>0</v>
      </c>
      <c r="V26" s="1">
        <v>0.23300000000000001</v>
      </c>
      <c r="W26" s="1">
        <v>0.17699999999999999</v>
      </c>
      <c r="X26" s="1">
        <v>0.29199999999999998</v>
      </c>
      <c r="Y26" s="6">
        <v>2.31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8">
        <v>72.900000000000006</v>
      </c>
      <c r="AG26" s="1">
        <v>0</v>
      </c>
      <c r="AH26" s="1">
        <v>0</v>
      </c>
      <c r="AI26" s="1">
        <v>0</v>
      </c>
      <c r="AJ26" s="1">
        <v>0</v>
      </c>
      <c r="AK26" s="1">
        <v>24.79</v>
      </c>
      <c r="AL26" s="1">
        <v>0</v>
      </c>
      <c r="AM26" s="1">
        <v>1</v>
      </c>
      <c r="AN26" s="1">
        <v>0</v>
      </c>
      <c r="AO26" s="6">
        <f t="shared" si="0"/>
        <v>0.44800000000000001</v>
      </c>
      <c r="AP26" s="7">
        <f t="shared" si="2"/>
        <v>0.23300000000000001</v>
      </c>
      <c r="AQ26" s="6">
        <f t="shared" si="1"/>
        <v>0.215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0.45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100</v>
      </c>
      <c r="BI26" s="1">
        <v>0</v>
      </c>
      <c r="BJ26" s="1">
        <v>0</v>
      </c>
      <c r="BK26" s="1">
        <v>0</v>
      </c>
      <c r="BL26" s="1">
        <v>0.45</v>
      </c>
    </row>
    <row r="27" spans="1:64" x14ac:dyDescent="0.2">
      <c r="A27" s="4">
        <v>45721</v>
      </c>
      <c r="B27" s="1" t="s">
        <v>48</v>
      </c>
      <c r="C27" s="1" t="s">
        <v>190</v>
      </c>
      <c r="D27" s="17" t="s">
        <v>200</v>
      </c>
      <c r="E27" s="1" t="s">
        <v>102</v>
      </c>
      <c r="F27" s="1" t="s">
        <v>103</v>
      </c>
      <c r="G27" s="1">
        <v>2</v>
      </c>
      <c r="H27" s="1">
        <v>0</v>
      </c>
      <c r="I27" s="1">
        <v>0</v>
      </c>
      <c r="J27" s="1">
        <v>0</v>
      </c>
      <c r="K27" s="1">
        <v>7.6999999999999999E-2</v>
      </c>
      <c r="L27" s="6">
        <v>0.16800000000000001</v>
      </c>
      <c r="M27" s="1">
        <v>1.0529999999999999</v>
      </c>
      <c r="N27" s="1">
        <v>10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-0.245</v>
      </c>
      <c r="W27" s="1">
        <v>-0.245</v>
      </c>
      <c r="X27" s="1">
        <v>-0.245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6">
        <v>1.99</v>
      </c>
      <c r="AF27" s="8">
        <v>83.1</v>
      </c>
      <c r="AG27" s="1">
        <v>0</v>
      </c>
      <c r="AH27" s="1">
        <v>0</v>
      </c>
      <c r="AI27" s="1">
        <v>0</v>
      </c>
      <c r="AJ27" s="1">
        <v>0</v>
      </c>
      <c r="AK27" s="1">
        <v>14.91</v>
      </c>
      <c r="AL27" s="1">
        <v>0</v>
      </c>
      <c r="AM27" s="1">
        <v>0</v>
      </c>
      <c r="AN27" s="1">
        <v>0</v>
      </c>
      <c r="AO27" s="6">
        <f t="shared" si="0"/>
        <v>0</v>
      </c>
      <c r="AP27" s="7">
        <f t="shared" si="2"/>
        <v>-0.245</v>
      </c>
      <c r="AQ27" s="6">
        <f t="shared" si="1"/>
        <v>0.245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2">
      <c r="A28" s="4">
        <v>45721</v>
      </c>
      <c r="B28" s="1" t="s">
        <v>48</v>
      </c>
      <c r="C28" s="1" t="s">
        <v>190</v>
      </c>
      <c r="D28" s="17" t="s">
        <v>200</v>
      </c>
      <c r="E28" s="1" t="s">
        <v>104</v>
      </c>
      <c r="F28" s="1" t="s">
        <v>105</v>
      </c>
      <c r="G28" s="1">
        <v>3</v>
      </c>
      <c r="H28" s="1">
        <v>0.185</v>
      </c>
      <c r="I28" s="1">
        <v>0.161</v>
      </c>
      <c r="J28" s="1">
        <v>0.21199999999999999</v>
      </c>
      <c r="K28" s="1">
        <v>6.7000000000000004E-2</v>
      </c>
      <c r="L28" s="1">
        <v>0.14599999999999999</v>
      </c>
      <c r="M28" s="1">
        <v>1.0549999999999999</v>
      </c>
      <c r="N28" s="1">
        <v>10</v>
      </c>
      <c r="O28" s="1">
        <v>0.185</v>
      </c>
      <c r="P28" s="1">
        <v>0.161</v>
      </c>
      <c r="Q28" s="1">
        <v>0.21199999999999999</v>
      </c>
      <c r="R28" s="1">
        <v>0</v>
      </c>
      <c r="S28" s="1">
        <v>0</v>
      </c>
      <c r="T28" s="1">
        <v>0</v>
      </c>
      <c r="U28" s="1">
        <v>0</v>
      </c>
      <c r="V28" s="1">
        <v>-2.8000000000000001E-2</v>
      </c>
      <c r="W28" s="1">
        <v>-5.2999999999999999E-2</v>
      </c>
      <c r="X28" s="1">
        <v>-2E-3</v>
      </c>
      <c r="Y28" s="6">
        <v>0.85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6">
        <v>6.73</v>
      </c>
      <c r="AF28" s="8">
        <v>67.489999999999995</v>
      </c>
      <c r="AG28" s="1">
        <v>0</v>
      </c>
      <c r="AH28" s="1">
        <v>0</v>
      </c>
      <c r="AI28" s="1">
        <v>0.4</v>
      </c>
      <c r="AJ28" s="1">
        <v>0</v>
      </c>
      <c r="AK28" s="1">
        <v>24.93</v>
      </c>
      <c r="AL28" s="1">
        <v>0</v>
      </c>
      <c r="AM28" s="1">
        <v>1</v>
      </c>
      <c r="AN28" s="1">
        <v>0</v>
      </c>
      <c r="AO28" s="6">
        <f t="shared" si="0"/>
        <v>0.185</v>
      </c>
      <c r="AP28" s="7">
        <f t="shared" si="2"/>
        <v>-2.7999999999999997E-2</v>
      </c>
      <c r="AQ28" s="6">
        <f t="shared" si="1"/>
        <v>0.21299999999999999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0.19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100</v>
      </c>
      <c r="BI28" s="1">
        <v>0</v>
      </c>
      <c r="BJ28" s="1">
        <v>0</v>
      </c>
      <c r="BK28" s="1">
        <v>0</v>
      </c>
      <c r="BL28" s="1">
        <v>0.19</v>
      </c>
    </row>
    <row r="29" spans="1:64" x14ac:dyDescent="0.2">
      <c r="A29" s="4">
        <v>45721</v>
      </c>
      <c r="B29" s="1" t="s">
        <v>48</v>
      </c>
      <c r="C29" s="1" t="s">
        <v>190</v>
      </c>
      <c r="D29" s="17" t="s">
        <v>200</v>
      </c>
      <c r="E29" s="1" t="s">
        <v>106</v>
      </c>
      <c r="F29" s="1" t="s">
        <v>107</v>
      </c>
      <c r="G29" s="1">
        <v>4</v>
      </c>
      <c r="H29" s="1">
        <v>0</v>
      </c>
      <c r="I29" s="1">
        <v>0</v>
      </c>
      <c r="J29" s="1">
        <v>0</v>
      </c>
      <c r="K29" s="1">
        <v>4.2000000000000003E-2</v>
      </c>
      <c r="L29" s="1">
        <v>9.1999999999999998E-2</v>
      </c>
      <c r="M29" s="1">
        <v>1.042</v>
      </c>
      <c r="N29" s="1">
        <v>10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-0.13400000000000001</v>
      </c>
      <c r="W29" s="1">
        <v>-0.13400000000000001</v>
      </c>
      <c r="X29" s="6">
        <v>-0.13400000000000001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19.190000000000001</v>
      </c>
      <c r="AF29" s="1">
        <v>27.93</v>
      </c>
      <c r="AG29" s="1">
        <v>0</v>
      </c>
      <c r="AH29" s="1">
        <v>0</v>
      </c>
      <c r="AI29" s="1">
        <v>0</v>
      </c>
      <c r="AJ29" s="1">
        <v>0</v>
      </c>
      <c r="AK29" s="1">
        <v>52.88</v>
      </c>
      <c r="AL29" s="1">
        <v>0</v>
      </c>
      <c r="AM29" s="1">
        <v>0</v>
      </c>
      <c r="AN29" s="1">
        <v>0</v>
      </c>
      <c r="AO29" s="6">
        <f t="shared" si="0"/>
        <v>0</v>
      </c>
      <c r="AP29" s="7">
        <f t="shared" si="2"/>
        <v>-0.13400000000000001</v>
      </c>
      <c r="AQ29" s="6">
        <f t="shared" si="1"/>
        <v>0.13400000000000001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2">
      <c r="A30" s="4">
        <v>45721</v>
      </c>
      <c r="B30" s="1" t="s">
        <v>48</v>
      </c>
      <c r="C30" s="1" t="s">
        <v>190</v>
      </c>
      <c r="D30" s="17" t="s">
        <v>200</v>
      </c>
      <c r="E30" s="1" t="s">
        <v>108</v>
      </c>
      <c r="F30" s="1" t="s">
        <v>109</v>
      </c>
      <c r="G30" s="1">
        <v>5</v>
      </c>
      <c r="H30" s="1">
        <v>0.115</v>
      </c>
      <c r="I30" s="6">
        <v>0.1</v>
      </c>
      <c r="J30" s="1">
        <v>0.13100000000000001</v>
      </c>
      <c r="K30" s="6">
        <v>0.04</v>
      </c>
      <c r="L30" s="1">
        <v>8.7999999999999995E-2</v>
      </c>
      <c r="M30" s="1">
        <v>1.042</v>
      </c>
      <c r="N30" s="1">
        <v>10</v>
      </c>
      <c r="O30" s="1">
        <v>0.115</v>
      </c>
      <c r="P30" s="6">
        <v>0.1</v>
      </c>
      <c r="Q30" s="1">
        <v>0.13100000000000001</v>
      </c>
      <c r="R30" s="1">
        <v>0</v>
      </c>
      <c r="S30" s="1">
        <v>0</v>
      </c>
      <c r="T30" s="1">
        <v>0</v>
      </c>
      <c r="U30" s="1">
        <v>0</v>
      </c>
      <c r="V30" s="1">
        <v>-1.2999999999999999E-2</v>
      </c>
      <c r="W30" s="1">
        <v>-2.8000000000000001E-2</v>
      </c>
      <c r="X30" s="1">
        <v>3.0000000000000001E-3</v>
      </c>
      <c r="Y30" s="6">
        <v>0.57999999999999996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6">
        <v>9.6</v>
      </c>
      <c r="AF30" s="8">
        <v>35.32</v>
      </c>
      <c r="AG30" s="1">
        <v>0</v>
      </c>
      <c r="AH30" s="1">
        <v>0</v>
      </c>
      <c r="AI30" s="1">
        <v>0</v>
      </c>
      <c r="AJ30" s="1">
        <v>0</v>
      </c>
      <c r="AK30" s="1">
        <v>54.51</v>
      </c>
      <c r="AL30" s="1">
        <v>0</v>
      </c>
      <c r="AM30" s="1">
        <v>1</v>
      </c>
      <c r="AN30" s="1">
        <v>0</v>
      </c>
      <c r="AO30" s="6">
        <f t="shared" si="0"/>
        <v>0.115</v>
      </c>
      <c r="AP30" s="7">
        <f t="shared" si="2"/>
        <v>-1.2999999999999998E-2</v>
      </c>
      <c r="AQ30" s="6">
        <f t="shared" si="1"/>
        <v>0.128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0.11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100</v>
      </c>
      <c r="BI30" s="1">
        <v>0</v>
      </c>
      <c r="BJ30" s="1">
        <v>0</v>
      </c>
      <c r="BK30" s="1">
        <v>0</v>
      </c>
      <c r="BL30" s="1">
        <v>0.11</v>
      </c>
    </row>
    <row r="31" spans="1:64" x14ac:dyDescent="0.2">
      <c r="A31" s="4">
        <v>45721</v>
      </c>
      <c r="B31" s="1" t="s">
        <v>48</v>
      </c>
      <c r="C31" s="1" t="s">
        <v>190</v>
      </c>
      <c r="D31" s="17" t="s">
        <v>200</v>
      </c>
      <c r="E31" s="1" t="s">
        <v>110</v>
      </c>
      <c r="F31" s="1" t="s">
        <v>111</v>
      </c>
      <c r="G31" s="1">
        <v>6</v>
      </c>
      <c r="H31" s="1">
        <v>0.248</v>
      </c>
      <c r="I31" s="1">
        <v>0.218</v>
      </c>
      <c r="J31" s="1">
        <v>0.27900000000000003</v>
      </c>
      <c r="K31" s="1">
        <v>5.8000000000000003E-2</v>
      </c>
      <c r="L31" s="1">
        <v>0.125</v>
      </c>
      <c r="M31" s="1">
        <v>1.0489999999999999</v>
      </c>
      <c r="N31" s="1">
        <v>10</v>
      </c>
      <c r="O31" s="1">
        <v>0.248</v>
      </c>
      <c r="P31" s="1">
        <v>0.218</v>
      </c>
      <c r="Q31" s="1">
        <v>0.27900000000000003</v>
      </c>
      <c r="R31" s="1">
        <v>0</v>
      </c>
      <c r="S31" s="1">
        <v>0</v>
      </c>
      <c r="T31" s="1">
        <v>0</v>
      </c>
      <c r="U31" s="1">
        <v>0</v>
      </c>
      <c r="V31" s="1">
        <v>6.5000000000000002E-2</v>
      </c>
      <c r="W31" s="1">
        <v>3.5000000000000003E-2</v>
      </c>
      <c r="X31" s="1">
        <v>9.7000000000000003E-2</v>
      </c>
      <c r="Y31" s="6">
        <v>1.43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33.369999999999997</v>
      </c>
      <c r="AF31" s="1">
        <v>30.41</v>
      </c>
      <c r="AG31" s="1">
        <v>0</v>
      </c>
      <c r="AH31" s="1">
        <v>0</v>
      </c>
      <c r="AI31" s="1">
        <v>0</v>
      </c>
      <c r="AJ31" s="1">
        <v>0</v>
      </c>
      <c r="AK31" s="8">
        <v>34.799999999999997</v>
      </c>
      <c r="AL31" s="1">
        <v>0</v>
      </c>
      <c r="AM31" s="1">
        <v>1</v>
      </c>
      <c r="AN31" s="1">
        <v>0</v>
      </c>
      <c r="AO31" s="6">
        <f t="shared" si="0"/>
        <v>0.248</v>
      </c>
      <c r="AP31" s="7">
        <f t="shared" si="2"/>
        <v>6.5000000000000002E-2</v>
      </c>
      <c r="AQ31" s="6">
        <f t="shared" si="1"/>
        <v>0.183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0.25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100</v>
      </c>
      <c r="BI31" s="1">
        <v>0</v>
      </c>
      <c r="BJ31" s="1">
        <v>0</v>
      </c>
      <c r="BK31" s="1">
        <v>0</v>
      </c>
      <c r="BL31" s="1">
        <v>0.25</v>
      </c>
    </row>
    <row r="32" spans="1:64" x14ac:dyDescent="0.2">
      <c r="A32" s="4">
        <v>45732</v>
      </c>
      <c r="B32" s="1" t="s">
        <v>48</v>
      </c>
      <c r="C32" s="1" t="s">
        <v>190</v>
      </c>
      <c r="D32" s="17" t="s">
        <v>200</v>
      </c>
      <c r="E32" s="1" t="s">
        <v>112</v>
      </c>
      <c r="F32" s="1" t="s">
        <v>113</v>
      </c>
      <c r="G32" s="1">
        <v>7</v>
      </c>
      <c r="H32" s="1">
        <v>0</v>
      </c>
      <c r="I32" s="1">
        <v>0</v>
      </c>
      <c r="J32" s="1">
        <v>0</v>
      </c>
      <c r="K32" s="6">
        <v>9.7000000000000003E-2</v>
      </c>
      <c r="L32" s="1">
        <v>0.21099999999999999</v>
      </c>
      <c r="M32" s="1">
        <v>1.167</v>
      </c>
      <c r="N32" s="1">
        <v>10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-0.308</v>
      </c>
      <c r="W32" s="1">
        <v>-0.308</v>
      </c>
      <c r="X32" s="1">
        <v>-0.308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40.450000000000003</v>
      </c>
      <c r="AF32" s="8">
        <v>56.3</v>
      </c>
      <c r="AG32" s="1">
        <v>0</v>
      </c>
      <c r="AH32" s="1">
        <v>0</v>
      </c>
      <c r="AI32" s="1">
        <v>0</v>
      </c>
      <c r="AJ32" s="1">
        <v>0</v>
      </c>
      <c r="AK32" s="6">
        <v>3.26</v>
      </c>
      <c r="AL32" s="1">
        <v>0</v>
      </c>
      <c r="AM32" s="1">
        <v>0</v>
      </c>
      <c r="AN32" s="1">
        <v>0</v>
      </c>
      <c r="AO32" s="6">
        <f t="shared" si="0"/>
        <v>0</v>
      </c>
      <c r="AP32" s="7">
        <f t="shared" si="2"/>
        <v>-0.308</v>
      </c>
      <c r="AQ32" s="6">
        <f t="shared" si="1"/>
        <v>0.308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2">
      <c r="A33" s="4">
        <v>45732</v>
      </c>
      <c r="B33" s="1" t="s">
        <v>48</v>
      </c>
      <c r="C33" s="1" t="s">
        <v>190</v>
      </c>
      <c r="D33" s="17" t="s">
        <v>200</v>
      </c>
      <c r="E33" s="1" t="s">
        <v>114</v>
      </c>
      <c r="F33" s="1" t="s">
        <v>115</v>
      </c>
      <c r="G33" s="1">
        <v>8</v>
      </c>
      <c r="H33" s="1">
        <v>0.68500000000000005</v>
      </c>
      <c r="I33" s="1">
        <v>0.59599999999999997</v>
      </c>
      <c r="J33" s="1">
        <v>0.78200000000000003</v>
      </c>
      <c r="K33" s="1">
        <v>0.106</v>
      </c>
      <c r="L33" s="1">
        <v>0.23100000000000001</v>
      </c>
      <c r="M33" s="1">
        <v>1.4330000000000001</v>
      </c>
      <c r="N33" s="1">
        <v>10</v>
      </c>
      <c r="O33" s="1">
        <v>0.68500000000000005</v>
      </c>
      <c r="P33" s="1">
        <v>0.59599999999999997</v>
      </c>
      <c r="Q33" s="1">
        <v>0.78200000000000003</v>
      </c>
      <c r="R33" s="1">
        <v>0</v>
      </c>
      <c r="S33" s="1">
        <v>0</v>
      </c>
      <c r="T33" s="1">
        <v>0</v>
      </c>
      <c r="U33" s="1">
        <v>0</v>
      </c>
      <c r="V33" s="1">
        <v>0.34799999999999998</v>
      </c>
      <c r="W33" s="1">
        <v>0.25800000000000001</v>
      </c>
      <c r="X33" s="1">
        <v>0.44400000000000001</v>
      </c>
      <c r="Y33" s="6">
        <v>2.37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12.21</v>
      </c>
      <c r="AF33" s="1">
        <v>74.11</v>
      </c>
      <c r="AG33" s="1">
        <v>0</v>
      </c>
      <c r="AH33" s="1">
        <v>0</v>
      </c>
      <c r="AI33" s="1">
        <v>0</v>
      </c>
      <c r="AJ33" s="1">
        <v>10.050000000000001</v>
      </c>
      <c r="AK33" s="8">
        <v>1.26</v>
      </c>
      <c r="AL33" s="1">
        <v>0</v>
      </c>
      <c r="AM33" s="1">
        <v>1</v>
      </c>
      <c r="AN33" s="1">
        <v>0</v>
      </c>
      <c r="AO33" s="6">
        <f t="shared" si="0"/>
        <v>0.68500000000000005</v>
      </c>
      <c r="AP33" s="7">
        <f t="shared" si="2"/>
        <v>0.34800000000000003</v>
      </c>
      <c r="AQ33" s="6">
        <f t="shared" si="1"/>
        <v>0.33700000000000002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0.69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100</v>
      </c>
      <c r="BI33" s="1">
        <v>0</v>
      </c>
      <c r="BJ33" s="1">
        <v>0</v>
      </c>
      <c r="BK33" s="1">
        <v>0</v>
      </c>
      <c r="BL33" s="1">
        <v>0.69</v>
      </c>
    </row>
    <row r="34" spans="1:64" x14ac:dyDescent="0.2">
      <c r="A34" s="4">
        <v>45732</v>
      </c>
      <c r="B34" s="1" t="s">
        <v>48</v>
      </c>
      <c r="C34" s="1" t="s">
        <v>190</v>
      </c>
      <c r="D34" s="17" t="s">
        <v>200</v>
      </c>
      <c r="E34" s="1" t="s">
        <v>116</v>
      </c>
      <c r="F34" s="1" t="s">
        <v>117</v>
      </c>
      <c r="G34" s="1">
        <v>9</v>
      </c>
      <c r="H34" s="1">
        <v>0</v>
      </c>
      <c r="I34" s="1">
        <v>0</v>
      </c>
      <c r="J34" s="1">
        <v>0</v>
      </c>
      <c r="K34" s="6">
        <v>2.1000000000000001E-2</v>
      </c>
      <c r="L34" s="1">
        <v>4.4999999999999998E-2</v>
      </c>
      <c r="M34" s="1">
        <v>1.0620000000000001</v>
      </c>
      <c r="N34" s="1">
        <v>10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-6.6000000000000003E-2</v>
      </c>
      <c r="W34" s="1">
        <v>-6.6000000000000003E-2</v>
      </c>
      <c r="X34" s="1">
        <v>-6.6000000000000003E-2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6">
        <v>9.1300000000000008</v>
      </c>
      <c r="AF34" s="8">
        <v>13.56</v>
      </c>
      <c r="AG34" s="1">
        <v>0</v>
      </c>
      <c r="AH34" s="1">
        <v>0</v>
      </c>
      <c r="AI34" s="1">
        <v>0</v>
      </c>
      <c r="AJ34" s="1">
        <v>47.65</v>
      </c>
      <c r="AK34" s="1">
        <v>29.66</v>
      </c>
      <c r="AL34" s="1">
        <v>0</v>
      </c>
      <c r="AM34" s="1">
        <v>0</v>
      </c>
      <c r="AN34" s="1">
        <v>0</v>
      </c>
      <c r="AO34" s="6">
        <f t="shared" si="0"/>
        <v>0</v>
      </c>
      <c r="AP34" s="7">
        <f t="shared" si="2"/>
        <v>-6.6000000000000003E-2</v>
      </c>
      <c r="AQ34" s="6">
        <f t="shared" si="1"/>
        <v>6.6000000000000003E-2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2">
      <c r="A35" s="4">
        <v>45734</v>
      </c>
      <c r="B35" s="1" t="s">
        <v>48</v>
      </c>
      <c r="C35" s="1" t="s">
        <v>190</v>
      </c>
      <c r="D35" s="17" t="s">
        <v>200</v>
      </c>
      <c r="E35" s="1" t="s">
        <v>118</v>
      </c>
      <c r="F35" s="1" t="s">
        <v>119</v>
      </c>
      <c r="G35" s="1">
        <v>10</v>
      </c>
      <c r="H35" s="1">
        <v>0.20300000000000001</v>
      </c>
      <c r="I35" s="1">
        <v>0.17899999999999999</v>
      </c>
      <c r="J35" s="6">
        <v>0.23</v>
      </c>
      <c r="K35" s="1">
        <v>7.8E-2</v>
      </c>
      <c r="L35" s="6">
        <v>0.17</v>
      </c>
      <c r="M35" s="1">
        <v>1.2370000000000001</v>
      </c>
      <c r="N35" s="1">
        <v>10</v>
      </c>
      <c r="O35" s="1">
        <v>0.20300000000000001</v>
      </c>
      <c r="P35" s="1">
        <v>0.17899999999999999</v>
      </c>
      <c r="Q35" s="6">
        <v>0.23</v>
      </c>
      <c r="R35" s="1">
        <v>0</v>
      </c>
      <c r="S35" s="1">
        <v>0</v>
      </c>
      <c r="T35" s="1">
        <v>0</v>
      </c>
      <c r="U35" s="1">
        <v>0</v>
      </c>
      <c r="V35" s="1">
        <v>-4.4999999999999998E-2</v>
      </c>
      <c r="W35" s="6">
        <v>-7.0000000000000007E-2</v>
      </c>
      <c r="X35" s="1">
        <v>-1.9E-2</v>
      </c>
      <c r="Y35" s="6">
        <v>0.97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6">
        <v>5.09</v>
      </c>
      <c r="AF35" s="8">
        <v>68.47</v>
      </c>
      <c r="AG35" s="1">
        <v>0</v>
      </c>
      <c r="AH35" s="1">
        <v>0</v>
      </c>
      <c r="AI35" s="1">
        <v>0</v>
      </c>
      <c r="AJ35" s="1">
        <v>18.670000000000002</v>
      </c>
      <c r="AK35" s="1">
        <v>6.79</v>
      </c>
      <c r="AL35" s="1">
        <v>0</v>
      </c>
      <c r="AM35" s="1">
        <v>1</v>
      </c>
      <c r="AN35" s="1">
        <v>0</v>
      </c>
      <c r="AO35" s="6">
        <f t="shared" si="0"/>
        <v>0.20300000000000001</v>
      </c>
      <c r="AP35" s="7">
        <f t="shared" si="2"/>
        <v>-4.4999999999999984E-2</v>
      </c>
      <c r="AQ35" s="6">
        <f t="shared" si="1"/>
        <v>0.248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8">
        <v>0.2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100</v>
      </c>
      <c r="BI35" s="1">
        <v>0</v>
      </c>
      <c r="BJ35" s="1">
        <v>0</v>
      </c>
      <c r="BK35" s="1">
        <v>0</v>
      </c>
      <c r="BL35" s="8">
        <v>0.2</v>
      </c>
    </row>
    <row r="36" spans="1:64" x14ac:dyDescent="0.2">
      <c r="A36" s="4">
        <v>45729</v>
      </c>
      <c r="B36" s="1" t="s">
        <v>48</v>
      </c>
      <c r="C36" s="1" t="s">
        <v>190</v>
      </c>
      <c r="D36" s="17" t="s">
        <v>200</v>
      </c>
      <c r="E36" s="1" t="s">
        <v>169</v>
      </c>
      <c r="F36" s="1" t="s">
        <v>170</v>
      </c>
      <c r="G36" s="1">
        <v>1</v>
      </c>
      <c r="H36" s="1">
        <v>0</v>
      </c>
      <c r="I36" s="1">
        <v>0</v>
      </c>
      <c r="J36" s="11">
        <v>0</v>
      </c>
      <c r="K36" s="1">
        <v>8.2000000000000003E-2</v>
      </c>
      <c r="L36" s="1">
        <v>0.17699999999999999</v>
      </c>
      <c r="M36" s="1">
        <v>1.2010000000000001</v>
      </c>
      <c r="N36" s="1">
        <v>10</v>
      </c>
      <c r="O36" s="1">
        <v>0</v>
      </c>
      <c r="P36" s="1">
        <v>0</v>
      </c>
      <c r="Q36" s="11">
        <v>0</v>
      </c>
      <c r="R36" s="1">
        <v>0</v>
      </c>
      <c r="S36" s="1">
        <v>0</v>
      </c>
      <c r="T36" s="1">
        <v>0</v>
      </c>
      <c r="U36" s="1">
        <v>0</v>
      </c>
      <c r="V36" s="1">
        <v>-0.25900000000000001</v>
      </c>
      <c r="W36" s="6">
        <v>-0.25900000000000001</v>
      </c>
      <c r="X36" s="1">
        <v>-0.25900000000000001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26.89</v>
      </c>
      <c r="AF36" s="1">
        <v>52.04</v>
      </c>
      <c r="AG36" s="1">
        <v>0</v>
      </c>
      <c r="AH36" s="1">
        <v>0</v>
      </c>
      <c r="AI36" s="1">
        <v>0</v>
      </c>
      <c r="AJ36" s="1">
        <v>0</v>
      </c>
      <c r="AK36" s="1">
        <v>21.07</v>
      </c>
      <c r="AL36" s="1">
        <v>0</v>
      </c>
      <c r="AM36" s="1">
        <v>0</v>
      </c>
      <c r="AN36" s="1">
        <v>0</v>
      </c>
      <c r="AO36" s="6">
        <f t="shared" ref="AO36:AO55" si="3">O36+R36</f>
        <v>0</v>
      </c>
      <c r="AP36" s="7">
        <f t="shared" ref="AP36:AP55" si="4">(AO36)-(AQ36)</f>
        <v>-0.25900000000000001</v>
      </c>
      <c r="AQ36" s="6">
        <f t="shared" ref="AQ36:AQ55" si="5">(K36+L36+U36+AN36)</f>
        <v>0.25900000000000001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1">
        <v>0</v>
      </c>
    </row>
    <row r="37" spans="1:64" x14ac:dyDescent="0.2">
      <c r="A37" s="4">
        <v>45729</v>
      </c>
      <c r="B37" s="1" t="s">
        <v>48</v>
      </c>
      <c r="C37" s="1" t="s">
        <v>190</v>
      </c>
      <c r="D37" s="17" t="s">
        <v>200</v>
      </c>
      <c r="E37" s="1" t="s">
        <v>171</v>
      </c>
      <c r="F37" s="1" t="s">
        <v>172</v>
      </c>
      <c r="G37" s="1">
        <v>2</v>
      </c>
      <c r="H37" s="1">
        <v>0</v>
      </c>
      <c r="I37" s="1">
        <v>0</v>
      </c>
      <c r="J37" s="11">
        <v>0</v>
      </c>
      <c r="K37" s="1">
        <v>8.6999999999999994E-2</v>
      </c>
      <c r="L37" s="1">
        <v>0.189</v>
      </c>
      <c r="M37" s="1">
        <v>1.1970000000000001</v>
      </c>
      <c r="N37" s="1">
        <v>10</v>
      </c>
      <c r="O37" s="1">
        <v>0</v>
      </c>
      <c r="P37" s="1">
        <v>0</v>
      </c>
      <c r="Q37" s="11">
        <v>0</v>
      </c>
      <c r="R37" s="1">
        <v>0</v>
      </c>
      <c r="S37" s="1">
        <v>0</v>
      </c>
      <c r="T37" s="1">
        <v>0</v>
      </c>
      <c r="U37" s="1">
        <v>0</v>
      </c>
      <c r="V37" s="1">
        <v>-0.27600000000000002</v>
      </c>
      <c r="W37" s="6">
        <v>-0.27600000000000002</v>
      </c>
      <c r="X37" s="1">
        <v>-0.27600000000000002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41.35</v>
      </c>
      <c r="AF37" s="8">
        <v>43.11</v>
      </c>
      <c r="AG37" s="1">
        <v>0</v>
      </c>
      <c r="AH37" s="1">
        <v>0</v>
      </c>
      <c r="AI37" s="1">
        <v>0</v>
      </c>
      <c r="AJ37" s="1">
        <v>0</v>
      </c>
      <c r="AK37" s="1">
        <v>15.54</v>
      </c>
      <c r="AL37" s="1">
        <v>0</v>
      </c>
      <c r="AM37" s="1">
        <v>0</v>
      </c>
      <c r="AN37" s="1">
        <v>0</v>
      </c>
      <c r="AO37" s="6">
        <f t="shared" si="3"/>
        <v>0</v>
      </c>
      <c r="AP37" s="7">
        <f t="shared" si="4"/>
        <v>-0.27600000000000002</v>
      </c>
      <c r="AQ37" s="6">
        <f t="shared" si="5"/>
        <v>0.27600000000000002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1">
        <v>0</v>
      </c>
    </row>
    <row r="38" spans="1:64" x14ac:dyDescent="0.2">
      <c r="A38" s="4">
        <v>45729</v>
      </c>
      <c r="B38" s="1" t="s">
        <v>48</v>
      </c>
      <c r="C38" s="1" t="s">
        <v>190</v>
      </c>
      <c r="D38" s="17" t="s">
        <v>200</v>
      </c>
      <c r="E38" s="1" t="s">
        <v>173</v>
      </c>
      <c r="F38" s="1" t="s">
        <v>174</v>
      </c>
      <c r="G38" s="1">
        <v>3</v>
      </c>
      <c r="H38" s="1">
        <v>0.442</v>
      </c>
      <c r="I38" s="1">
        <v>0.29899999999999999</v>
      </c>
      <c r="J38" s="6">
        <v>0.58499999999999996</v>
      </c>
      <c r="K38" s="1">
        <v>6.5000000000000002E-2</v>
      </c>
      <c r="L38" s="1">
        <v>0.14199999999999999</v>
      </c>
      <c r="M38" s="1">
        <v>1.2170000000000001</v>
      </c>
      <c r="N38" s="1">
        <v>10</v>
      </c>
      <c r="O38" s="1">
        <v>0.442</v>
      </c>
      <c r="P38" s="1">
        <v>0.29899999999999999</v>
      </c>
      <c r="Q38" s="6">
        <v>0.58499999999999996</v>
      </c>
      <c r="R38" s="1">
        <v>0</v>
      </c>
      <c r="S38" s="1">
        <v>0</v>
      </c>
      <c r="T38" s="1">
        <v>0</v>
      </c>
      <c r="U38" s="1">
        <v>0</v>
      </c>
      <c r="V38" s="1">
        <v>0.23499999999999999</v>
      </c>
      <c r="W38" s="6">
        <v>9.1999999999999998E-2</v>
      </c>
      <c r="X38" s="1">
        <v>0.378</v>
      </c>
      <c r="Y38" s="6">
        <v>1.73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8">
        <v>8.3000000000000007</v>
      </c>
      <c r="AF38" s="8">
        <v>54.15</v>
      </c>
      <c r="AG38" s="1">
        <v>0</v>
      </c>
      <c r="AH38" s="1">
        <v>0</v>
      </c>
      <c r="AI38" s="1">
        <v>0</v>
      </c>
      <c r="AJ38" s="1">
        <v>0</v>
      </c>
      <c r="AK38" s="8">
        <v>35.83</v>
      </c>
      <c r="AL38" s="1">
        <v>0</v>
      </c>
      <c r="AM38" s="1">
        <v>1</v>
      </c>
      <c r="AN38" s="1">
        <v>0</v>
      </c>
      <c r="AO38" s="6">
        <f t="shared" si="3"/>
        <v>0.442</v>
      </c>
      <c r="AP38" s="7">
        <f t="shared" si="4"/>
        <v>0.23500000000000001</v>
      </c>
      <c r="AQ38" s="6">
        <f t="shared" si="5"/>
        <v>0.20699999999999999</v>
      </c>
      <c r="AR38" s="1">
        <v>0</v>
      </c>
      <c r="AS38" s="1">
        <v>0</v>
      </c>
      <c r="AT38" s="1">
        <v>0</v>
      </c>
      <c r="AU38" s="1">
        <v>0</v>
      </c>
      <c r="AV38" s="1">
        <v>0.44</v>
      </c>
      <c r="AW38" s="1">
        <v>0</v>
      </c>
      <c r="AX38" s="1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100</v>
      </c>
      <c r="BF38" s="1">
        <v>0</v>
      </c>
      <c r="BG38" s="1">
        <v>0</v>
      </c>
      <c r="BH38" s="1">
        <v>0</v>
      </c>
      <c r="BI38" s="1">
        <v>0.44</v>
      </c>
      <c r="BJ38" s="1">
        <v>0</v>
      </c>
      <c r="BK38" s="1">
        <v>0</v>
      </c>
      <c r="BL38" s="11">
        <v>0</v>
      </c>
    </row>
    <row r="39" spans="1:64" x14ac:dyDescent="0.2">
      <c r="A39" s="4">
        <v>45729</v>
      </c>
      <c r="B39" s="1" t="s">
        <v>48</v>
      </c>
      <c r="C39" s="1" t="s">
        <v>190</v>
      </c>
      <c r="D39" s="17" t="s">
        <v>200</v>
      </c>
      <c r="E39" s="1" t="s">
        <v>175</v>
      </c>
      <c r="F39" s="1" t="s">
        <v>176</v>
      </c>
      <c r="G39" s="1">
        <v>4</v>
      </c>
      <c r="H39" s="6">
        <v>0.42</v>
      </c>
      <c r="I39" s="1">
        <v>0.27200000000000002</v>
      </c>
      <c r="J39" s="6">
        <v>0.60099999999999998</v>
      </c>
      <c r="K39" s="1">
        <v>8.6999999999999994E-2</v>
      </c>
      <c r="L39" s="1">
        <v>0.189</v>
      </c>
      <c r="M39" s="1">
        <v>1.3280000000000001</v>
      </c>
      <c r="N39" s="1">
        <v>10</v>
      </c>
      <c r="O39" s="6">
        <v>0.42</v>
      </c>
      <c r="P39" s="1">
        <v>0.27200000000000002</v>
      </c>
      <c r="Q39" s="6">
        <v>0.60099999999999998</v>
      </c>
      <c r="R39" s="1">
        <v>0</v>
      </c>
      <c r="S39" s="1">
        <v>0</v>
      </c>
      <c r="T39" s="1">
        <v>0</v>
      </c>
      <c r="U39" s="1">
        <v>0</v>
      </c>
      <c r="V39" s="1">
        <v>0.14399999999999999</v>
      </c>
      <c r="W39" s="6">
        <v>-5.0000000000000001E-3</v>
      </c>
      <c r="X39" s="1">
        <v>0.32500000000000001</v>
      </c>
      <c r="Y39" s="6">
        <v>2.11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29.89</v>
      </c>
      <c r="AF39" s="8">
        <v>46.31</v>
      </c>
      <c r="AG39" s="1">
        <v>0</v>
      </c>
      <c r="AH39" s="1">
        <v>0</v>
      </c>
      <c r="AI39" s="1">
        <v>0</v>
      </c>
      <c r="AJ39" s="1">
        <v>0</v>
      </c>
      <c r="AK39" s="1">
        <v>21.69</v>
      </c>
      <c r="AL39" s="1">
        <v>0</v>
      </c>
      <c r="AM39" s="1">
        <v>1</v>
      </c>
      <c r="AN39" s="1">
        <v>0</v>
      </c>
      <c r="AO39" s="6">
        <f t="shared" si="3"/>
        <v>0.42</v>
      </c>
      <c r="AP39" s="7">
        <f t="shared" si="4"/>
        <v>0.14399999999999996</v>
      </c>
      <c r="AQ39" s="6">
        <f t="shared" si="5"/>
        <v>0.27600000000000002</v>
      </c>
      <c r="AR39" s="1">
        <v>0.42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100</v>
      </c>
      <c r="BF39" s="1">
        <v>0</v>
      </c>
      <c r="BG39" s="1">
        <v>0</v>
      </c>
      <c r="BH39" s="1">
        <v>0</v>
      </c>
      <c r="BI39" s="1">
        <v>0.42</v>
      </c>
      <c r="BJ39" s="1">
        <v>0</v>
      </c>
      <c r="BK39" s="1">
        <v>0</v>
      </c>
      <c r="BL39" s="11">
        <v>0</v>
      </c>
    </row>
    <row r="40" spans="1:64" x14ac:dyDescent="0.2">
      <c r="A40" s="4">
        <v>45729</v>
      </c>
      <c r="B40" s="1" t="s">
        <v>48</v>
      </c>
      <c r="C40" s="1" t="s">
        <v>190</v>
      </c>
      <c r="D40" s="17" t="s">
        <v>200</v>
      </c>
      <c r="E40" s="1" t="s">
        <v>177</v>
      </c>
      <c r="F40" s="1" t="s">
        <v>178</v>
      </c>
      <c r="G40" s="1">
        <v>5</v>
      </c>
      <c r="H40" s="1">
        <v>2.3149999999999999</v>
      </c>
      <c r="I40" s="1">
        <v>1.4930000000000001</v>
      </c>
      <c r="J40" s="6">
        <v>3.3079999999999998</v>
      </c>
      <c r="K40" s="6">
        <v>0.09</v>
      </c>
      <c r="L40" s="6">
        <v>0.18</v>
      </c>
      <c r="M40" s="1">
        <v>1.204</v>
      </c>
      <c r="N40" s="1">
        <v>10</v>
      </c>
      <c r="O40" s="1">
        <v>2.282</v>
      </c>
      <c r="P40" s="1">
        <v>1.474</v>
      </c>
      <c r="Q40" s="6">
        <v>3.262</v>
      </c>
      <c r="R40" s="1">
        <v>3.2000000000000001E-2</v>
      </c>
      <c r="S40" s="1">
        <v>1.9E-2</v>
      </c>
      <c r="T40" s="1">
        <v>4.5999999999999999E-2</v>
      </c>
      <c r="U40" s="1">
        <v>0</v>
      </c>
      <c r="V40" s="1">
        <v>2.0449999999999999</v>
      </c>
      <c r="W40" s="6">
        <v>1.2230000000000001</v>
      </c>
      <c r="X40" s="1">
        <v>3.0390000000000001</v>
      </c>
      <c r="Y40" s="1">
        <v>12.62</v>
      </c>
      <c r="Z40" s="1">
        <v>6.64</v>
      </c>
      <c r="AA40" s="1">
        <v>0</v>
      </c>
      <c r="AB40" s="1">
        <v>0</v>
      </c>
      <c r="AC40" s="1">
        <v>0</v>
      </c>
      <c r="AD40" s="1">
        <v>0</v>
      </c>
      <c r="AE40" s="1">
        <v>86.63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6">
        <v>0.75</v>
      </c>
      <c r="AL40" s="1">
        <v>0</v>
      </c>
      <c r="AM40" s="1">
        <v>1</v>
      </c>
      <c r="AN40" s="1">
        <v>0</v>
      </c>
      <c r="AO40" s="6">
        <f t="shared" si="3"/>
        <v>2.3140000000000001</v>
      </c>
      <c r="AP40" s="7">
        <f t="shared" si="4"/>
        <v>2.044</v>
      </c>
      <c r="AQ40" s="6">
        <f t="shared" si="5"/>
        <v>0.27</v>
      </c>
      <c r="AR40" s="1">
        <v>2.2799999999999998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100</v>
      </c>
      <c r="BF40" s="1">
        <v>0</v>
      </c>
      <c r="BG40" s="1">
        <v>0</v>
      </c>
      <c r="BH40" s="1">
        <v>0</v>
      </c>
      <c r="BI40" s="1">
        <v>2.2799999999999998</v>
      </c>
      <c r="BJ40" s="1">
        <v>0</v>
      </c>
      <c r="BK40" s="1">
        <v>0</v>
      </c>
      <c r="BL40" s="11">
        <v>0</v>
      </c>
    </row>
    <row r="41" spans="1:64" x14ac:dyDescent="0.2">
      <c r="A41" s="4">
        <v>45729</v>
      </c>
      <c r="B41" s="1" t="s">
        <v>48</v>
      </c>
      <c r="C41" s="1" t="s">
        <v>190</v>
      </c>
      <c r="D41" s="17" t="s">
        <v>200</v>
      </c>
      <c r="E41" s="1" t="s">
        <v>179</v>
      </c>
      <c r="F41" s="1" t="s">
        <v>180</v>
      </c>
      <c r="G41" s="1">
        <v>6</v>
      </c>
      <c r="H41" s="1">
        <v>2.7949999999999999</v>
      </c>
      <c r="I41" s="1">
        <v>1.7949999999999999</v>
      </c>
      <c r="J41" s="6">
        <v>3.9940000000000002</v>
      </c>
      <c r="K41" s="1">
        <v>9.2999999999999999E-2</v>
      </c>
      <c r="L41" s="1">
        <v>0.13900000000000001</v>
      </c>
      <c r="M41" s="1">
        <v>1.282</v>
      </c>
      <c r="N41" s="1">
        <v>10</v>
      </c>
      <c r="O41" s="1">
        <v>2.6579999999999999</v>
      </c>
      <c r="P41" s="1">
        <v>1.7170000000000001</v>
      </c>
      <c r="Q41" s="6">
        <v>3.7989999999999999</v>
      </c>
      <c r="R41" s="1">
        <v>0.13700000000000001</v>
      </c>
      <c r="S41" s="1">
        <v>7.9000000000000001E-2</v>
      </c>
      <c r="T41" s="1">
        <v>0.19500000000000001</v>
      </c>
      <c r="U41" s="1">
        <v>0</v>
      </c>
      <c r="V41" s="1">
        <v>2.5619999999999998</v>
      </c>
      <c r="W41" s="6">
        <v>1.5629999999999999</v>
      </c>
      <c r="X41" s="1">
        <v>3.762</v>
      </c>
      <c r="Y41" s="1">
        <v>13.81</v>
      </c>
      <c r="Z41" s="1">
        <v>26.44</v>
      </c>
      <c r="AA41" s="1">
        <v>0</v>
      </c>
      <c r="AB41" s="1">
        <v>0</v>
      </c>
      <c r="AC41" s="1">
        <v>0</v>
      </c>
      <c r="AD41" s="1">
        <v>0</v>
      </c>
      <c r="AE41" s="1">
        <v>32.61</v>
      </c>
      <c r="AF41" s="1">
        <v>51.95</v>
      </c>
      <c r="AG41" s="1">
        <v>0</v>
      </c>
      <c r="AH41" s="1">
        <v>0</v>
      </c>
      <c r="AI41" s="1">
        <v>0</v>
      </c>
      <c r="AJ41" s="1">
        <v>0</v>
      </c>
      <c r="AK41" s="6">
        <v>1.64</v>
      </c>
      <c r="AL41" s="1">
        <v>0</v>
      </c>
      <c r="AM41" s="1">
        <v>1</v>
      </c>
      <c r="AN41" s="1">
        <v>0</v>
      </c>
      <c r="AO41" s="6">
        <f t="shared" si="3"/>
        <v>2.7949999999999999</v>
      </c>
      <c r="AP41" s="7">
        <f t="shared" si="4"/>
        <v>2.5629999999999997</v>
      </c>
      <c r="AQ41" s="6">
        <f t="shared" si="5"/>
        <v>0.23200000000000001</v>
      </c>
      <c r="AR41" s="1">
        <v>2.66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100</v>
      </c>
      <c r="BF41" s="1">
        <v>0</v>
      </c>
      <c r="BG41" s="1">
        <v>0</v>
      </c>
      <c r="BH41" s="1">
        <v>0</v>
      </c>
      <c r="BI41" s="1">
        <v>2.2599999999999998</v>
      </c>
      <c r="BJ41" s="1">
        <v>0</v>
      </c>
      <c r="BK41" s="1">
        <v>0</v>
      </c>
      <c r="BL41" s="11">
        <v>0</v>
      </c>
    </row>
    <row r="42" spans="1:64" x14ac:dyDescent="0.2">
      <c r="A42" s="4">
        <v>45731</v>
      </c>
      <c r="B42" s="1" t="s">
        <v>48</v>
      </c>
      <c r="C42" s="1" t="s">
        <v>190</v>
      </c>
      <c r="D42" s="17" t="s">
        <v>200</v>
      </c>
      <c r="E42" s="1" t="s">
        <v>181</v>
      </c>
      <c r="F42" s="1" t="s">
        <v>182</v>
      </c>
      <c r="G42" s="1">
        <v>7</v>
      </c>
      <c r="H42" s="1">
        <v>0</v>
      </c>
      <c r="I42" s="1">
        <v>0</v>
      </c>
      <c r="J42" s="11">
        <v>0</v>
      </c>
      <c r="K42" s="1">
        <v>9.4E-2</v>
      </c>
      <c r="L42" s="1">
        <v>0.20499999999999999</v>
      </c>
      <c r="M42" s="1">
        <v>1.119</v>
      </c>
      <c r="N42" s="1">
        <v>10</v>
      </c>
      <c r="O42" s="1">
        <v>0</v>
      </c>
      <c r="P42" s="1">
        <v>0</v>
      </c>
      <c r="Q42" s="11">
        <v>0</v>
      </c>
      <c r="R42" s="1">
        <v>0</v>
      </c>
      <c r="S42" s="1">
        <v>0</v>
      </c>
      <c r="T42" s="1">
        <v>0</v>
      </c>
      <c r="U42" s="1">
        <v>0</v>
      </c>
      <c r="V42" s="1">
        <v>-0.29899999999999999</v>
      </c>
      <c r="W42" s="6">
        <v>-0.29899999999999999</v>
      </c>
      <c r="X42" s="1">
        <v>-0.29899999999999999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42.54</v>
      </c>
      <c r="AF42" s="1">
        <v>55.32</v>
      </c>
      <c r="AG42" s="1">
        <v>0</v>
      </c>
      <c r="AH42" s="1">
        <v>0</v>
      </c>
      <c r="AI42" s="1">
        <v>0</v>
      </c>
      <c r="AJ42" s="1">
        <v>0</v>
      </c>
      <c r="AK42" s="6">
        <v>2.14</v>
      </c>
      <c r="AL42" s="1">
        <v>0</v>
      </c>
      <c r="AM42" s="1">
        <v>0</v>
      </c>
      <c r="AN42" s="1">
        <v>0</v>
      </c>
      <c r="AO42" s="6">
        <f t="shared" si="3"/>
        <v>0</v>
      </c>
      <c r="AP42" s="7">
        <f t="shared" si="4"/>
        <v>-0.29899999999999999</v>
      </c>
      <c r="AQ42" s="6">
        <f t="shared" si="5"/>
        <v>0.29899999999999999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</row>
    <row r="43" spans="1:64" x14ac:dyDescent="0.2">
      <c r="A43" s="4">
        <v>45731</v>
      </c>
      <c r="B43" s="1" t="s">
        <v>48</v>
      </c>
      <c r="C43" s="1" t="s">
        <v>190</v>
      </c>
      <c r="D43" s="17" t="s">
        <v>200</v>
      </c>
      <c r="E43" s="1" t="s">
        <v>183</v>
      </c>
      <c r="F43" s="1" t="s">
        <v>184</v>
      </c>
      <c r="G43" s="1">
        <v>8</v>
      </c>
      <c r="H43" s="1">
        <v>0</v>
      </c>
      <c r="I43" s="1">
        <v>0</v>
      </c>
      <c r="J43" s="11">
        <v>0</v>
      </c>
      <c r="K43" s="1">
        <v>7.3999999999999996E-2</v>
      </c>
      <c r="L43" s="6">
        <v>0.16</v>
      </c>
      <c r="M43" s="1">
        <v>1.1180000000000001</v>
      </c>
      <c r="N43" s="1">
        <v>10</v>
      </c>
      <c r="O43" s="1">
        <v>0</v>
      </c>
      <c r="P43" s="1">
        <v>0</v>
      </c>
      <c r="Q43" s="11">
        <v>0</v>
      </c>
      <c r="R43" s="1">
        <v>0</v>
      </c>
      <c r="S43" s="1">
        <v>0</v>
      </c>
      <c r="T43" s="1">
        <v>0</v>
      </c>
      <c r="U43" s="1">
        <v>0</v>
      </c>
      <c r="V43" s="1">
        <v>-0.23300000000000001</v>
      </c>
      <c r="W43" s="6">
        <v>-0.23300000000000001</v>
      </c>
      <c r="X43" s="1">
        <v>-0.23300000000000001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22.27</v>
      </c>
      <c r="AF43" s="1">
        <v>54.2</v>
      </c>
      <c r="AG43" s="1">
        <v>0</v>
      </c>
      <c r="AH43" s="1">
        <v>0</v>
      </c>
      <c r="AI43" s="1">
        <v>0</v>
      </c>
      <c r="AJ43" s="1">
        <v>0</v>
      </c>
      <c r="AK43" s="1">
        <v>23.52</v>
      </c>
      <c r="AL43" s="1">
        <v>0</v>
      </c>
      <c r="AM43" s="1">
        <v>0</v>
      </c>
      <c r="AN43" s="1">
        <v>0</v>
      </c>
      <c r="AO43" s="6">
        <f t="shared" si="3"/>
        <v>0</v>
      </c>
      <c r="AP43" s="7">
        <f t="shared" si="4"/>
        <v>-0.23399999999999999</v>
      </c>
      <c r="AQ43" s="6">
        <f t="shared" si="5"/>
        <v>0.23399999999999999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</row>
    <row r="44" spans="1:64" x14ac:dyDescent="0.2">
      <c r="A44" s="4">
        <v>45731</v>
      </c>
      <c r="B44" s="1" t="s">
        <v>48</v>
      </c>
      <c r="C44" s="1" t="s">
        <v>190</v>
      </c>
      <c r="D44" s="17" t="s">
        <v>200</v>
      </c>
      <c r="E44" s="1" t="s">
        <v>185</v>
      </c>
      <c r="F44" s="1" t="s">
        <v>186</v>
      </c>
      <c r="G44" s="1">
        <v>9</v>
      </c>
      <c r="H44" s="1">
        <v>0</v>
      </c>
      <c r="I44" s="1">
        <v>0</v>
      </c>
      <c r="J44" s="11">
        <v>0</v>
      </c>
      <c r="K44" s="1">
        <v>9.8000000000000004E-2</v>
      </c>
      <c r="L44" s="1">
        <v>0.21299999999999999</v>
      </c>
      <c r="M44" s="1">
        <v>1.173</v>
      </c>
      <c r="N44" s="1">
        <v>10</v>
      </c>
      <c r="O44" s="1">
        <v>0</v>
      </c>
      <c r="P44" s="1">
        <v>0</v>
      </c>
      <c r="Q44" s="11">
        <v>0</v>
      </c>
      <c r="R44" s="1">
        <v>0</v>
      </c>
      <c r="S44" s="1">
        <v>0</v>
      </c>
      <c r="T44" s="1">
        <v>0</v>
      </c>
      <c r="U44" s="1">
        <v>0</v>
      </c>
      <c r="V44" s="1">
        <v>-0.311</v>
      </c>
      <c r="W44" s="6">
        <v>-0.311</v>
      </c>
      <c r="X44" s="1">
        <v>-0.311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46.46</v>
      </c>
      <c r="AF44" s="1">
        <v>50.64</v>
      </c>
      <c r="AG44" s="1">
        <v>0</v>
      </c>
      <c r="AH44" s="1">
        <v>0</v>
      </c>
      <c r="AI44" s="1">
        <v>0</v>
      </c>
      <c r="AJ44" s="1">
        <v>0</v>
      </c>
      <c r="AK44" s="8">
        <v>2.9</v>
      </c>
      <c r="AL44" s="1">
        <v>0</v>
      </c>
      <c r="AM44" s="1">
        <v>0</v>
      </c>
      <c r="AN44" s="1">
        <v>0</v>
      </c>
      <c r="AO44" s="6">
        <f t="shared" si="3"/>
        <v>0</v>
      </c>
      <c r="AP44" s="7">
        <f t="shared" si="4"/>
        <v>-0.311</v>
      </c>
      <c r="AQ44" s="6">
        <f t="shared" si="5"/>
        <v>0.311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2">
      <c r="A45" s="4">
        <v>45736</v>
      </c>
      <c r="B45" s="1" t="s">
        <v>48</v>
      </c>
      <c r="C45" s="1" t="s">
        <v>190</v>
      </c>
      <c r="D45" s="17" t="s">
        <v>200</v>
      </c>
      <c r="E45" s="1" t="s">
        <v>187</v>
      </c>
      <c r="F45" s="1" t="s">
        <v>188</v>
      </c>
      <c r="G45" s="1">
        <v>10</v>
      </c>
      <c r="H45" s="1">
        <v>1.2E-2</v>
      </c>
      <c r="I45" s="1">
        <v>7.0000000000000001E-3</v>
      </c>
      <c r="J45" s="6">
        <v>1.7000000000000001E-2</v>
      </c>
      <c r="K45" s="1">
        <v>0.10299999999999999</v>
      </c>
      <c r="L45" s="1">
        <v>0.218</v>
      </c>
      <c r="M45" s="1">
        <v>1.224</v>
      </c>
      <c r="N45" s="1">
        <v>10</v>
      </c>
      <c r="O45" s="1">
        <v>0</v>
      </c>
      <c r="P45" s="1">
        <v>0</v>
      </c>
      <c r="Q45" s="11">
        <v>0</v>
      </c>
      <c r="R45" s="1">
        <v>1.2E-2</v>
      </c>
      <c r="S45" s="1">
        <v>7.0000000000000001E-3</v>
      </c>
      <c r="T45" s="1">
        <v>1.7000000000000001E-2</v>
      </c>
      <c r="U45" s="1">
        <v>0</v>
      </c>
      <c r="V45" s="1">
        <v>-0.309</v>
      </c>
      <c r="W45" s="6">
        <v>-0.314</v>
      </c>
      <c r="X45" s="1">
        <v>-0.30399999999999999</v>
      </c>
      <c r="Y45" s="1">
        <v>0</v>
      </c>
      <c r="Z45" s="1">
        <v>2.4500000000000002</v>
      </c>
      <c r="AA45" s="1">
        <v>0</v>
      </c>
      <c r="AB45" s="1">
        <v>0</v>
      </c>
      <c r="AC45" s="1">
        <v>0</v>
      </c>
      <c r="AD45" s="1">
        <v>0</v>
      </c>
      <c r="AE45" s="1">
        <v>48.77</v>
      </c>
      <c r="AF45" s="8">
        <v>49.1</v>
      </c>
      <c r="AG45" s="1">
        <v>0</v>
      </c>
      <c r="AH45" s="1">
        <v>0</v>
      </c>
      <c r="AI45" s="1">
        <v>0</v>
      </c>
      <c r="AJ45" s="1">
        <v>0</v>
      </c>
      <c r="AK45" s="8">
        <v>2.12</v>
      </c>
      <c r="AL45" s="1">
        <v>0</v>
      </c>
      <c r="AM45" s="1">
        <v>0</v>
      </c>
      <c r="AN45" s="1">
        <v>0</v>
      </c>
      <c r="AO45" s="6">
        <f t="shared" si="3"/>
        <v>1.2E-2</v>
      </c>
      <c r="AP45" s="7">
        <f t="shared" si="4"/>
        <v>-0.309</v>
      </c>
      <c r="AQ45" s="6">
        <f t="shared" si="5"/>
        <v>0.32100000000000001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</row>
    <row r="46" spans="1:64" x14ac:dyDescent="0.2">
      <c r="A46" s="4">
        <v>45730</v>
      </c>
      <c r="B46" s="1" t="s">
        <v>48</v>
      </c>
      <c r="C46" s="1" t="s">
        <v>190</v>
      </c>
      <c r="D46" s="17" t="s">
        <v>200</v>
      </c>
      <c r="E46" s="1" t="s">
        <v>204</v>
      </c>
      <c r="F46" s="1" t="s">
        <v>205</v>
      </c>
      <c r="G46" s="1">
        <v>1</v>
      </c>
      <c r="H46" s="1">
        <v>1.141</v>
      </c>
      <c r="I46" s="1">
        <v>1.008</v>
      </c>
      <c r="J46" s="1">
        <v>1.2829999999999999</v>
      </c>
      <c r="K46" s="1">
        <v>4.1000000000000002E-2</v>
      </c>
      <c r="L46" s="6">
        <v>0.09</v>
      </c>
      <c r="M46" s="1">
        <v>1.05</v>
      </c>
      <c r="N46" s="1">
        <v>10</v>
      </c>
      <c r="O46" s="1">
        <v>1.141</v>
      </c>
      <c r="P46" s="1">
        <v>1.008</v>
      </c>
      <c r="Q46" s="1">
        <v>1.2829999999999999</v>
      </c>
      <c r="R46" s="1">
        <v>0</v>
      </c>
      <c r="S46" s="1">
        <v>0</v>
      </c>
      <c r="T46" s="1">
        <v>0</v>
      </c>
      <c r="U46" s="1">
        <v>0</v>
      </c>
      <c r="V46" s="6">
        <v>1.01</v>
      </c>
      <c r="W46" s="1">
        <v>0.876</v>
      </c>
      <c r="X46" s="1">
        <v>1.1519999999999999</v>
      </c>
      <c r="Y46" s="6">
        <v>6.85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4.76</v>
      </c>
      <c r="AF46" s="1">
        <v>52.04</v>
      </c>
      <c r="AG46" s="1">
        <v>0</v>
      </c>
      <c r="AH46" s="1">
        <v>0</v>
      </c>
      <c r="AI46" s="1">
        <v>0</v>
      </c>
      <c r="AJ46" s="1">
        <v>0</v>
      </c>
      <c r="AK46" s="1">
        <v>21.07</v>
      </c>
      <c r="AL46" s="1">
        <v>0</v>
      </c>
      <c r="AM46" s="1">
        <v>1</v>
      </c>
      <c r="AN46" s="1">
        <v>0.79400000000000004</v>
      </c>
      <c r="AO46" s="1">
        <f t="shared" si="3"/>
        <v>1.141</v>
      </c>
      <c r="AP46" s="7">
        <f t="shared" si="4"/>
        <v>0.21599999999999997</v>
      </c>
      <c r="AQ46" s="1">
        <f t="shared" si="5"/>
        <v>0.92500000000000004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1.1399999999999999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100</v>
      </c>
      <c r="BI46" s="1">
        <v>0</v>
      </c>
      <c r="BJ46" s="1">
        <v>0</v>
      </c>
      <c r="BK46" s="1">
        <v>0</v>
      </c>
      <c r="BL46" s="1">
        <v>1.1399999999999999</v>
      </c>
    </row>
    <row r="47" spans="1:64" x14ac:dyDescent="0.2">
      <c r="A47" s="4">
        <v>45730</v>
      </c>
      <c r="B47" s="1" t="s">
        <v>48</v>
      </c>
      <c r="C47" s="1" t="s">
        <v>190</v>
      </c>
      <c r="D47" s="17" t="s">
        <v>200</v>
      </c>
      <c r="E47" s="1" t="s">
        <v>206</v>
      </c>
      <c r="F47" s="1" t="s">
        <v>211</v>
      </c>
      <c r="G47" s="1">
        <v>2</v>
      </c>
      <c r="H47" s="6">
        <v>6.93</v>
      </c>
      <c r="I47" s="1">
        <v>5.9790000000000001</v>
      </c>
      <c r="J47" s="1">
        <v>7.9619999999999997</v>
      </c>
      <c r="K47" s="6">
        <v>0.09</v>
      </c>
      <c r="L47" s="1">
        <v>0.17599999999999999</v>
      </c>
      <c r="M47" s="1">
        <v>1.47</v>
      </c>
      <c r="N47" s="1">
        <v>10</v>
      </c>
      <c r="O47" s="1">
        <v>6.89</v>
      </c>
      <c r="P47" s="1">
        <v>5.9560000000000004</v>
      </c>
      <c r="Q47" s="1">
        <v>7.9050000000000002</v>
      </c>
      <c r="R47" s="6">
        <v>0.04</v>
      </c>
      <c r="S47" s="1">
        <v>2.3E-2</v>
      </c>
      <c r="T47" s="1">
        <v>5.7000000000000002E-2</v>
      </c>
      <c r="U47" s="1">
        <v>0</v>
      </c>
      <c r="V47" s="1">
        <v>6.6639999999999997</v>
      </c>
      <c r="W47" s="1">
        <v>5.7130000000000001</v>
      </c>
      <c r="X47" s="1">
        <v>7.6970000000000001</v>
      </c>
      <c r="Y47" s="1">
        <v>26.93</v>
      </c>
      <c r="Z47" s="1">
        <v>6.72</v>
      </c>
      <c r="AA47" s="1">
        <v>0</v>
      </c>
      <c r="AB47" s="1">
        <v>0</v>
      </c>
      <c r="AC47" s="1">
        <v>0</v>
      </c>
      <c r="AD47" s="1">
        <v>0</v>
      </c>
      <c r="AE47" s="1">
        <v>16.62</v>
      </c>
      <c r="AF47" s="8">
        <v>43.11</v>
      </c>
      <c r="AG47" s="1">
        <v>0</v>
      </c>
      <c r="AH47" s="1">
        <v>0</v>
      </c>
      <c r="AI47" s="1">
        <v>0</v>
      </c>
      <c r="AJ47" s="1">
        <v>0</v>
      </c>
      <c r="AK47" s="1">
        <v>15.54</v>
      </c>
      <c r="AL47" s="1">
        <v>0</v>
      </c>
      <c r="AM47" s="1">
        <v>2</v>
      </c>
      <c r="AN47" s="1">
        <v>0.79400000000000004</v>
      </c>
      <c r="AO47" s="1">
        <f t="shared" si="3"/>
        <v>6.93</v>
      </c>
      <c r="AP47" s="7">
        <f t="shared" si="4"/>
        <v>5.8699999999999992</v>
      </c>
      <c r="AQ47" s="1">
        <f t="shared" si="5"/>
        <v>1.06</v>
      </c>
      <c r="AR47" s="1">
        <v>0</v>
      </c>
      <c r="AS47" s="1">
        <v>0</v>
      </c>
      <c r="AT47" s="1">
        <v>0</v>
      </c>
      <c r="AU47" s="1">
        <v>0</v>
      </c>
      <c r="AV47" s="1">
        <v>0.55000000000000004</v>
      </c>
      <c r="AW47" s="1">
        <v>0</v>
      </c>
      <c r="AX47" s="1">
        <v>6.34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8.82</v>
      </c>
      <c r="BF47" s="1">
        <v>0</v>
      </c>
      <c r="BG47" s="1">
        <v>0</v>
      </c>
      <c r="BH47" s="1">
        <v>91.18</v>
      </c>
      <c r="BI47" s="1">
        <v>0.55000000000000004</v>
      </c>
      <c r="BJ47" s="1">
        <v>0</v>
      </c>
      <c r="BK47" s="1">
        <v>0</v>
      </c>
      <c r="BL47" s="1">
        <v>6.34</v>
      </c>
    </row>
    <row r="48" spans="1:64" x14ac:dyDescent="0.2">
      <c r="A48" s="4">
        <v>45730</v>
      </c>
      <c r="B48" s="1" t="s">
        <v>48</v>
      </c>
      <c r="C48" s="1" t="s">
        <v>190</v>
      </c>
      <c r="D48" s="17" t="s">
        <v>200</v>
      </c>
      <c r="E48" s="1" t="s">
        <v>207</v>
      </c>
      <c r="F48" s="1" t="s">
        <v>212</v>
      </c>
      <c r="G48" s="1">
        <v>3</v>
      </c>
      <c r="H48" s="1">
        <v>3.1230000000000002</v>
      </c>
      <c r="I48" s="1">
        <v>2.6869999999999998</v>
      </c>
      <c r="J48" s="1">
        <v>3.5979999999999999</v>
      </c>
      <c r="K48" s="1">
        <v>3.4000000000000002E-2</v>
      </c>
      <c r="L48" s="1">
        <v>6.2E-2</v>
      </c>
      <c r="M48" s="1">
        <v>1.1200000000000001</v>
      </c>
      <c r="N48" s="1">
        <v>10</v>
      </c>
      <c r="O48" s="1">
        <v>3.0990000000000002</v>
      </c>
      <c r="P48" s="1">
        <v>2.673</v>
      </c>
      <c r="Q48" s="1">
        <v>3.5630000000000002</v>
      </c>
      <c r="R48" s="1">
        <v>2.4E-2</v>
      </c>
      <c r="S48" s="1">
        <v>1.4E-2</v>
      </c>
      <c r="T48" s="1">
        <v>3.5000000000000003E-2</v>
      </c>
      <c r="U48" s="1">
        <v>0</v>
      </c>
      <c r="V48" s="1">
        <v>3.028</v>
      </c>
      <c r="W48" s="1">
        <v>2.5910000000000002</v>
      </c>
      <c r="X48" s="1">
        <v>3.5019999999999998</v>
      </c>
      <c r="Y48" s="1">
        <v>16.84</v>
      </c>
      <c r="Z48" s="1">
        <v>5.35</v>
      </c>
      <c r="AA48" s="1">
        <v>0</v>
      </c>
      <c r="AB48" s="1">
        <v>0</v>
      </c>
      <c r="AC48" s="1">
        <v>0</v>
      </c>
      <c r="AD48" s="1">
        <v>0</v>
      </c>
      <c r="AE48" s="1">
        <v>5.35</v>
      </c>
      <c r="AF48" s="8">
        <v>54.15</v>
      </c>
      <c r="AG48" s="1">
        <v>0</v>
      </c>
      <c r="AH48" s="1">
        <v>0</v>
      </c>
      <c r="AI48" s="1">
        <v>0</v>
      </c>
      <c r="AJ48" s="1">
        <v>0</v>
      </c>
      <c r="AK48" s="8">
        <v>35.83</v>
      </c>
      <c r="AL48" s="1">
        <v>0</v>
      </c>
      <c r="AM48" s="1">
        <v>2</v>
      </c>
      <c r="AN48" s="1">
        <v>0.79400000000000004</v>
      </c>
      <c r="AO48" s="1">
        <f t="shared" si="3"/>
        <v>3.1230000000000002</v>
      </c>
      <c r="AP48" s="2">
        <f t="shared" si="4"/>
        <v>2.2330000000000001</v>
      </c>
      <c r="AQ48" s="1">
        <f t="shared" si="5"/>
        <v>0.89</v>
      </c>
      <c r="AR48" s="1">
        <v>0</v>
      </c>
      <c r="AS48" s="1">
        <v>0</v>
      </c>
      <c r="AT48" s="1">
        <v>0</v>
      </c>
      <c r="AU48" s="1">
        <v>0</v>
      </c>
      <c r="AV48" s="1">
        <v>0.35</v>
      </c>
      <c r="AW48" s="1">
        <v>0</v>
      </c>
      <c r="AX48" s="1">
        <v>2.75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11.64</v>
      </c>
      <c r="BF48" s="1">
        <v>0</v>
      </c>
      <c r="BG48" s="1">
        <v>0</v>
      </c>
      <c r="BH48" s="1">
        <v>88.36</v>
      </c>
      <c r="BI48" s="1">
        <v>0.35</v>
      </c>
      <c r="BJ48" s="1">
        <v>0</v>
      </c>
      <c r="BK48" s="1">
        <v>0</v>
      </c>
      <c r="BL48" s="1">
        <v>2.75</v>
      </c>
    </row>
    <row r="49" spans="1:64" x14ac:dyDescent="0.2">
      <c r="A49" s="4">
        <v>45730</v>
      </c>
      <c r="B49" s="1" t="s">
        <v>48</v>
      </c>
      <c r="C49" s="1" t="s">
        <v>190</v>
      </c>
      <c r="D49" s="17" t="s">
        <v>200</v>
      </c>
      <c r="E49" s="1" t="s">
        <v>208</v>
      </c>
      <c r="F49" s="1" t="s">
        <v>213</v>
      </c>
      <c r="G49" s="1">
        <v>4</v>
      </c>
      <c r="H49" s="1">
        <v>6.0339999999999998</v>
      </c>
      <c r="I49" s="1">
        <v>5.0449999999999999</v>
      </c>
      <c r="J49" s="1">
        <v>7.1340000000000003</v>
      </c>
      <c r="K49" s="1">
        <v>4.7E-2</v>
      </c>
      <c r="L49" s="1">
        <v>0.10299999999999999</v>
      </c>
      <c r="M49" s="1">
        <v>1.07</v>
      </c>
      <c r="N49" s="1">
        <v>10</v>
      </c>
      <c r="O49" s="1">
        <v>6.0339999999999998</v>
      </c>
      <c r="P49" s="1">
        <v>5.0449999999999999</v>
      </c>
      <c r="Q49" s="1">
        <v>7.1340000000000003</v>
      </c>
      <c r="R49" s="1">
        <v>0</v>
      </c>
      <c r="S49" s="1">
        <v>0</v>
      </c>
      <c r="T49" s="1">
        <v>0</v>
      </c>
      <c r="U49" s="1">
        <v>0</v>
      </c>
      <c r="V49" s="1">
        <v>5.8840000000000003</v>
      </c>
      <c r="W49" s="1">
        <v>4.8949999999999996</v>
      </c>
      <c r="X49" s="1">
        <v>6.984</v>
      </c>
      <c r="Y49" s="1">
        <v>34.71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18.29</v>
      </c>
      <c r="AF49" s="8">
        <v>46.31</v>
      </c>
      <c r="AG49" s="1">
        <v>0</v>
      </c>
      <c r="AH49" s="1">
        <v>0</v>
      </c>
      <c r="AI49" s="1">
        <v>0</v>
      </c>
      <c r="AJ49" s="1">
        <v>0</v>
      </c>
      <c r="AK49" s="1">
        <v>21.69</v>
      </c>
      <c r="AL49" s="1">
        <v>0</v>
      </c>
      <c r="AM49" s="1">
        <v>2</v>
      </c>
      <c r="AN49" s="1">
        <v>0.79400000000000004</v>
      </c>
      <c r="AO49" s="1">
        <f t="shared" si="3"/>
        <v>6.0339999999999998</v>
      </c>
      <c r="AP49" s="2">
        <f t="shared" si="4"/>
        <v>5.09</v>
      </c>
      <c r="AQ49" s="1">
        <f t="shared" si="5"/>
        <v>0.94400000000000006</v>
      </c>
      <c r="AR49" s="1">
        <v>0</v>
      </c>
      <c r="AS49" s="1">
        <v>0</v>
      </c>
      <c r="AT49" s="1">
        <v>0</v>
      </c>
      <c r="AU49" s="1">
        <v>0</v>
      </c>
      <c r="AV49" s="1">
        <v>1.65</v>
      </c>
      <c r="AW49" s="1">
        <v>0</v>
      </c>
      <c r="AX49" s="1">
        <v>4.38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28.38</v>
      </c>
      <c r="BF49" s="1">
        <v>0</v>
      </c>
      <c r="BG49" s="1">
        <v>0</v>
      </c>
      <c r="BH49" s="1">
        <v>71.62</v>
      </c>
      <c r="BI49" s="1">
        <v>1.65</v>
      </c>
      <c r="BJ49" s="1">
        <v>0</v>
      </c>
      <c r="BK49" s="1">
        <v>0</v>
      </c>
      <c r="BL49" s="1">
        <v>4.38</v>
      </c>
    </row>
    <row r="50" spans="1:64" x14ac:dyDescent="0.2">
      <c r="A50" s="4">
        <v>45730</v>
      </c>
      <c r="B50" s="1" t="s">
        <v>48</v>
      </c>
      <c r="C50" s="1" t="s">
        <v>190</v>
      </c>
      <c r="D50" s="17" t="s">
        <v>200</v>
      </c>
      <c r="E50" s="1" t="s">
        <v>209</v>
      </c>
      <c r="F50" s="1" t="s">
        <v>214</v>
      </c>
      <c r="G50" s="1">
        <v>5</v>
      </c>
      <c r="H50" s="1">
        <v>8.8819999999999997</v>
      </c>
      <c r="I50" s="6">
        <v>7.3</v>
      </c>
      <c r="J50" s="1">
        <v>10.659000000000001</v>
      </c>
      <c r="K50" s="1">
        <v>5.0999999999999997E-2</v>
      </c>
      <c r="L50" s="1">
        <v>0.111</v>
      </c>
      <c r="M50" s="1">
        <v>1.27</v>
      </c>
      <c r="N50" s="1">
        <v>10</v>
      </c>
      <c r="O50" s="1">
        <v>8.8819999999999997</v>
      </c>
      <c r="P50" s="6">
        <v>7.3</v>
      </c>
      <c r="Q50" s="1">
        <v>10.659000000000001</v>
      </c>
      <c r="R50" s="1">
        <v>0</v>
      </c>
      <c r="S50" s="1">
        <v>0</v>
      </c>
      <c r="T50" s="1">
        <v>0</v>
      </c>
      <c r="U50" s="1">
        <v>0</v>
      </c>
      <c r="V50" s="6">
        <v>8.7200000000000006</v>
      </c>
      <c r="W50" s="1">
        <v>7.1379999999999999</v>
      </c>
      <c r="X50" s="1">
        <v>10.497</v>
      </c>
      <c r="Y50" s="1">
        <v>41.31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10.86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6">
        <v>0.75</v>
      </c>
      <c r="AL50" s="1">
        <v>0</v>
      </c>
      <c r="AM50" s="1">
        <v>2</v>
      </c>
      <c r="AN50" s="1">
        <v>0.79400000000000004</v>
      </c>
      <c r="AO50" s="1">
        <f t="shared" si="3"/>
        <v>8.8819999999999997</v>
      </c>
      <c r="AP50" s="2">
        <f t="shared" si="4"/>
        <v>7.9259999999999993</v>
      </c>
      <c r="AQ50" s="1">
        <f t="shared" si="5"/>
        <v>0.95600000000000007</v>
      </c>
      <c r="AR50" s="1">
        <v>0</v>
      </c>
      <c r="AS50" s="1">
        <v>0</v>
      </c>
      <c r="AT50" s="1">
        <v>0</v>
      </c>
      <c r="AU50" s="1">
        <v>0</v>
      </c>
      <c r="AV50" s="1">
        <v>3.08</v>
      </c>
      <c r="AW50" s="1">
        <v>0</v>
      </c>
      <c r="AX50" s="1">
        <v>5.8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37.33</v>
      </c>
      <c r="BF50" s="1">
        <v>0</v>
      </c>
      <c r="BG50" s="1">
        <v>0</v>
      </c>
      <c r="BH50" s="1">
        <v>62.67</v>
      </c>
      <c r="BI50" s="1">
        <v>3.08</v>
      </c>
      <c r="BJ50" s="1">
        <v>0</v>
      </c>
      <c r="BK50" s="1">
        <v>0</v>
      </c>
      <c r="BL50" s="8">
        <v>5.8</v>
      </c>
    </row>
    <row r="51" spans="1:64" x14ac:dyDescent="0.2">
      <c r="A51" s="4">
        <v>45730</v>
      </c>
      <c r="B51" s="1" t="s">
        <v>48</v>
      </c>
      <c r="C51" s="1" t="s">
        <v>190</v>
      </c>
      <c r="D51" s="17" t="s">
        <v>200</v>
      </c>
      <c r="E51" s="1" t="s">
        <v>210</v>
      </c>
      <c r="F51" s="1" t="s">
        <v>215</v>
      </c>
      <c r="G51" s="1">
        <v>6</v>
      </c>
      <c r="H51" s="1">
        <v>6.4770000000000003</v>
      </c>
      <c r="I51" s="1">
        <v>5.0789999999999997</v>
      </c>
      <c r="J51" s="1">
        <v>8.0760000000000005</v>
      </c>
      <c r="K51" s="1">
        <v>3.6999999999999998E-2</v>
      </c>
      <c r="L51" s="1">
        <v>8.1000000000000003E-2</v>
      </c>
      <c r="M51" s="8">
        <v>1.2</v>
      </c>
      <c r="N51" s="1">
        <v>10</v>
      </c>
      <c r="O51" s="1">
        <v>6.4770000000000003</v>
      </c>
      <c r="P51" s="1">
        <v>5.0789999999999997</v>
      </c>
      <c r="Q51" s="1">
        <v>8.0760000000000005</v>
      </c>
      <c r="R51" s="1">
        <v>0</v>
      </c>
      <c r="S51" s="1">
        <v>0</v>
      </c>
      <c r="T51" s="1">
        <v>0</v>
      </c>
      <c r="U51" s="1">
        <v>0</v>
      </c>
      <c r="V51" s="1">
        <v>6.359</v>
      </c>
      <c r="W51" s="6">
        <v>4.96</v>
      </c>
      <c r="X51" s="1">
        <v>7.9569999999999999</v>
      </c>
      <c r="Y51" s="1">
        <v>33.86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51.95</v>
      </c>
      <c r="AG51" s="1">
        <v>0</v>
      </c>
      <c r="AH51" s="1">
        <v>0</v>
      </c>
      <c r="AI51" s="1">
        <v>0</v>
      </c>
      <c r="AJ51" s="1">
        <v>0</v>
      </c>
      <c r="AK51" s="6">
        <v>1.64</v>
      </c>
      <c r="AL51" s="1">
        <v>0</v>
      </c>
      <c r="AM51" s="1">
        <v>2</v>
      </c>
      <c r="AN51" s="1">
        <v>0.79400000000000004</v>
      </c>
      <c r="AO51" s="1">
        <f t="shared" si="3"/>
        <v>6.4770000000000003</v>
      </c>
      <c r="AP51" s="2">
        <f t="shared" si="4"/>
        <v>5.5650000000000004</v>
      </c>
      <c r="AQ51" s="1">
        <f t="shared" si="5"/>
        <v>0.91200000000000003</v>
      </c>
      <c r="AR51" s="1">
        <v>0</v>
      </c>
      <c r="AS51" s="1">
        <v>0</v>
      </c>
      <c r="AT51" s="1">
        <v>0</v>
      </c>
      <c r="AU51" s="1">
        <v>0</v>
      </c>
      <c r="AV51" s="1">
        <v>3.87</v>
      </c>
      <c r="AW51" s="1">
        <v>0</v>
      </c>
      <c r="AX51" s="1">
        <v>2.61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60.74</v>
      </c>
      <c r="BF51" s="1">
        <v>0</v>
      </c>
      <c r="BG51" s="1">
        <v>0</v>
      </c>
      <c r="BH51" s="1">
        <v>39.26</v>
      </c>
      <c r="BI51" s="1">
        <v>3.87</v>
      </c>
      <c r="BJ51" s="1">
        <v>0</v>
      </c>
      <c r="BK51" s="1">
        <v>0</v>
      </c>
      <c r="BL51" s="1">
        <v>2.61</v>
      </c>
    </row>
    <row r="52" spans="1:64" x14ac:dyDescent="0.2">
      <c r="A52" s="4">
        <v>45732</v>
      </c>
      <c r="B52" s="1" t="s">
        <v>48</v>
      </c>
      <c r="C52" s="1" t="s">
        <v>190</v>
      </c>
      <c r="D52" s="17" t="s">
        <v>200</v>
      </c>
      <c r="E52" s="1" t="s">
        <v>216</v>
      </c>
      <c r="F52" s="1" t="s">
        <v>220</v>
      </c>
      <c r="G52" s="1">
        <v>7</v>
      </c>
      <c r="H52" s="1">
        <v>1.466</v>
      </c>
      <c r="I52" s="1">
        <v>1.296</v>
      </c>
      <c r="J52" s="1">
        <v>1.6459999999999999</v>
      </c>
      <c r="K52" s="1">
        <v>5.8999999999999997E-2</v>
      </c>
      <c r="L52" s="1">
        <v>0.129</v>
      </c>
      <c r="M52" s="8">
        <v>1.3</v>
      </c>
      <c r="N52" s="1">
        <v>10</v>
      </c>
      <c r="O52" s="1">
        <v>1.466</v>
      </c>
      <c r="P52" s="1">
        <v>1.296</v>
      </c>
      <c r="Q52" s="1">
        <v>1.6459999999999999</v>
      </c>
      <c r="R52" s="1">
        <v>0</v>
      </c>
      <c r="S52" s="1">
        <v>0</v>
      </c>
      <c r="T52" s="1">
        <v>0</v>
      </c>
      <c r="U52" s="1">
        <v>0</v>
      </c>
      <c r="V52" s="1">
        <v>1.2769999999999999</v>
      </c>
      <c r="W52" s="1">
        <v>1.107</v>
      </c>
      <c r="X52" s="1">
        <v>1.458</v>
      </c>
      <c r="Y52" s="6">
        <v>7.25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2.16</v>
      </c>
      <c r="AF52" s="1">
        <v>55.32</v>
      </c>
      <c r="AG52" s="1">
        <v>0</v>
      </c>
      <c r="AH52" s="1">
        <v>0</v>
      </c>
      <c r="AI52" s="1">
        <v>0</v>
      </c>
      <c r="AJ52" s="1">
        <v>0</v>
      </c>
      <c r="AK52" s="6">
        <v>2.14</v>
      </c>
      <c r="AL52" s="1">
        <v>0</v>
      </c>
      <c r="AM52" s="1">
        <v>1</v>
      </c>
      <c r="AN52" s="1">
        <v>0.79400000000000004</v>
      </c>
      <c r="AO52" s="1">
        <f t="shared" si="3"/>
        <v>1.466</v>
      </c>
      <c r="AP52" s="2">
        <f t="shared" si="4"/>
        <v>0.48399999999999999</v>
      </c>
      <c r="AQ52" s="1">
        <f t="shared" si="5"/>
        <v>0.98199999999999998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1.47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100</v>
      </c>
      <c r="BI52" s="1">
        <v>0</v>
      </c>
      <c r="BJ52" s="1">
        <v>0</v>
      </c>
      <c r="BK52" s="1">
        <v>0</v>
      </c>
      <c r="BL52" s="1">
        <v>1.47</v>
      </c>
    </row>
    <row r="53" spans="1:64" x14ac:dyDescent="0.2">
      <c r="A53" s="4">
        <v>45732</v>
      </c>
      <c r="B53" s="1" t="s">
        <v>48</v>
      </c>
      <c r="C53" s="1" t="s">
        <v>190</v>
      </c>
      <c r="D53" s="17" t="s">
        <v>200</v>
      </c>
      <c r="E53" s="1" t="s">
        <v>217</v>
      </c>
      <c r="F53" s="1" t="s">
        <v>221</v>
      </c>
      <c r="G53" s="1">
        <v>8</v>
      </c>
      <c r="H53" s="1">
        <v>0.876</v>
      </c>
      <c r="I53" s="1">
        <v>0.77200000000000002</v>
      </c>
      <c r="J53" s="1">
        <v>0.98599999999999999</v>
      </c>
      <c r="K53" s="1">
        <v>3.1E-2</v>
      </c>
      <c r="L53" s="1">
        <v>6.7000000000000004E-2</v>
      </c>
      <c r="M53" s="8">
        <v>1.1000000000000001</v>
      </c>
      <c r="N53" s="1">
        <v>10</v>
      </c>
      <c r="O53" s="1">
        <v>0.876</v>
      </c>
      <c r="P53" s="1">
        <v>0.77200000000000002</v>
      </c>
      <c r="Q53" s="1">
        <v>0.98599999999999999</v>
      </c>
      <c r="R53" s="1">
        <v>0</v>
      </c>
      <c r="S53" s="1">
        <v>0</v>
      </c>
      <c r="T53" s="1">
        <v>0</v>
      </c>
      <c r="U53" s="1">
        <v>0</v>
      </c>
      <c r="V53" s="1">
        <v>0.77800000000000002</v>
      </c>
      <c r="W53" s="1">
        <v>0.67400000000000004</v>
      </c>
      <c r="X53" s="1">
        <v>0.88800000000000001</v>
      </c>
      <c r="Y53" s="6">
        <v>4.91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54.2</v>
      </c>
      <c r="AG53" s="1">
        <v>0</v>
      </c>
      <c r="AH53" s="1">
        <v>0</v>
      </c>
      <c r="AI53" s="1">
        <v>1.2</v>
      </c>
      <c r="AJ53" s="1">
        <v>0</v>
      </c>
      <c r="AK53" s="1">
        <v>23.52</v>
      </c>
      <c r="AL53" s="1">
        <v>0</v>
      </c>
      <c r="AM53" s="1">
        <v>1</v>
      </c>
      <c r="AN53" s="1">
        <v>0.79400000000000004</v>
      </c>
      <c r="AO53" s="1">
        <f t="shared" si="3"/>
        <v>0.876</v>
      </c>
      <c r="AP53" s="2">
        <f t="shared" si="4"/>
        <v>-1.6000000000000014E-2</v>
      </c>
      <c r="AQ53" s="1">
        <f t="shared" si="5"/>
        <v>0.89200000000000002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0.88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100</v>
      </c>
      <c r="BI53" s="1">
        <v>0</v>
      </c>
      <c r="BJ53" s="1">
        <v>0</v>
      </c>
      <c r="BK53" s="1">
        <v>0</v>
      </c>
      <c r="BL53" s="1">
        <v>0.88</v>
      </c>
    </row>
    <row r="54" spans="1:64" x14ac:dyDescent="0.2">
      <c r="A54" s="4">
        <v>45732</v>
      </c>
      <c r="B54" s="1" t="s">
        <v>48</v>
      </c>
      <c r="C54" s="1" t="s">
        <v>190</v>
      </c>
      <c r="D54" s="17" t="s">
        <v>200</v>
      </c>
      <c r="E54" s="1" t="s">
        <v>218</v>
      </c>
      <c r="F54" s="1" t="s">
        <v>222</v>
      </c>
      <c r="G54" s="1">
        <v>9</v>
      </c>
      <c r="H54" s="1">
        <v>2.4609999999999999</v>
      </c>
      <c r="I54" s="1">
        <v>2.1669999999999998</v>
      </c>
      <c r="J54" s="1">
        <v>2.7749999999999999</v>
      </c>
      <c r="K54" s="1">
        <v>1.7999999999999999E-2</v>
      </c>
      <c r="L54" s="1">
        <v>3.9E-2</v>
      </c>
      <c r="M54" s="1">
        <v>1.1100000000000001</v>
      </c>
      <c r="N54" s="1">
        <v>10</v>
      </c>
      <c r="O54" s="1">
        <v>2.4609999999999999</v>
      </c>
      <c r="P54" s="1">
        <v>2.1669999999999998</v>
      </c>
      <c r="Q54" s="1">
        <v>2.7749999999999999</v>
      </c>
      <c r="R54" s="1">
        <v>0</v>
      </c>
      <c r="S54" s="1">
        <v>0</v>
      </c>
      <c r="T54" s="1">
        <v>0</v>
      </c>
      <c r="U54" s="1">
        <v>0</v>
      </c>
      <c r="V54" s="1">
        <v>2.4039999999999999</v>
      </c>
      <c r="W54" s="1">
        <v>2.11</v>
      </c>
      <c r="X54" s="1">
        <v>2.718</v>
      </c>
      <c r="Y54" s="1">
        <v>13.47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50.64</v>
      </c>
      <c r="AG54" s="1">
        <v>0</v>
      </c>
      <c r="AH54" s="1">
        <v>0</v>
      </c>
      <c r="AI54" s="1">
        <v>0</v>
      </c>
      <c r="AJ54" s="1">
        <v>0</v>
      </c>
      <c r="AK54" s="8">
        <v>2.9</v>
      </c>
      <c r="AL54" s="1">
        <v>0</v>
      </c>
      <c r="AM54" s="1">
        <v>1</v>
      </c>
      <c r="AN54" s="1">
        <v>0.79400000000000004</v>
      </c>
      <c r="AO54" s="1">
        <f t="shared" si="3"/>
        <v>2.4609999999999999</v>
      </c>
      <c r="AP54" s="7">
        <f t="shared" si="4"/>
        <v>1.6099999999999999</v>
      </c>
      <c r="AQ54" s="1">
        <f t="shared" si="5"/>
        <v>0.85099999999999998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2.46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100</v>
      </c>
      <c r="BI54" s="1">
        <v>0</v>
      </c>
      <c r="BJ54" s="1">
        <v>0</v>
      </c>
      <c r="BK54" s="1">
        <v>0</v>
      </c>
      <c r="BL54" s="1">
        <v>2.46</v>
      </c>
    </row>
    <row r="55" spans="1:64" x14ac:dyDescent="0.2">
      <c r="A55" s="4">
        <v>45734</v>
      </c>
      <c r="B55" s="1" t="s">
        <v>48</v>
      </c>
      <c r="C55" s="1" t="s">
        <v>190</v>
      </c>
      <c r="D55" s="17" t="s">
        <v>200</v>
      </c>
      <c r="E55" s="1" t="s">
        <v>219</v>
      </c>
      <c r="F55" s="1" t="s">
        <v>223</v>
      </c>
      <c r="G55" s="1">
        <v>10</v>
      </c>
      <c r="H55" s="1">
        <v>4.7359999999999998</v>
      </c>
      <c r="I55" s="1">
        <v>4.1020000000000003</v>
      </c>
      <c r="J55" s="1">
        <v>5.4249999999999998</v>
      </c>
      <c r="K55" s="1">
        <v>7.1999999999999995E-2</v>
      </c>
      <c r="L55" s="1">
        <v>0.157</v>
      </c>
      <c r="M55" s="8">
        <v>1.4</v>
      </c>
      <c r="N55" s="1">
        <v>10</v>
      </c>
      <c r="O55" s="1">
        <v>4.7359999999999998</v>
      </c>
      <c r="P55" s="1">
        <v>4.1020000000000003</v>
      </c>
      <c r="Q55" s="1">
        <v>5.4249999999999998</v>
      </c>
      <c r="R55" s="1">
        <v>0</v>
      </c>
      <c r="S55" s="1">
        <v>0</v>
      </c>
      <c r="T55" s="1">
        <v>0</v>
      </c>
      <c r="U55" s="1">
        <v>0</v>
      </c>
      <c r="V55" s="1">
        <v>4.508</v>
      </c>
      <c r="W55" s="1">
        <v>3.8730000000000002</v>
      </c>
      <c r="X55" s="1">
        <v>5.1970000000000001</v>
      </c>
      <c r="Y55" s="1">
        <v>20.260000000000002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1.57</v>
      </c>
      <c r="AF55" s="8">
        <v>49.1</v>
      </c>
      <c r="AG55" s="1">
        <v>0</v>
      </c>
      <c r="AH55" s="1">
        <v>0</v>
      </c>
      <c r="AI55" s="1">
        <v>0</v>
      </c>
      <c r="AJ55" s="1">
        <v>0</v>
      </c>
      <c r="AK55" s="8">
        <v>2.12</v>
      </c>
      <c r="AL55" s="1">
        <v>0</v>
      </c>
      <c r="AM55" s="1">
        <v>2</v>
      </c>
      <c r="AN55" s="1">
        <v>0.79400000000000004</v>
      </c>
      <c r="AO55" s="1">
        <f t="shared" si="3"/>
        <v>4.7359999999999998</v>
      </c>
      <c r="AP55" s="2">
        <f t="shared" si="4"/>
        <v>3.7129999999999996</v>
      </c>
      <c r="AQ55" s="1">
        <f t="shared" si="5"/>
        <v>1.0230000000000001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4.6399999999999997</v>
      </c>
      <c r="AY55" s="1">
        <v>0</v>
      </c>
      <c r="AZ55" s="1">
        <v>0</v>
      </c>
      <c r="BA55" s="1">
        <v>0.09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100</v>
      </c>
      <c r="BI55" s="1">
        <v>0</v>
      </c>
      <c r="BJ55" s="1">
        <v>0</v>
      </c>
      <c r="BK55" s="1">
        <v>0</v>
      </c>
      <c r="BL55" s="1">
        <v>4.74</v>
      </c>
    </row>
    <row r="56" spans="1:64" x14ac:dyDescent="0.2">
      <c r="A56" s="4">
        <v>45720</v>
      </c>
      <c r="B56" s="1" t="s">
        <v>48</v>
      </c>
      <c r="C56" s="1" t="s">
        <v>190</v>
      </c>
      <c r="D56" s="16" t="s">
        <v>196</v>
      </c>
      <c r="E56" s="1" t="s">
        <v>120</v>
      </c>
      <c r="F56" s="1" t="s">
        <v>121</v>
      </c>
      <c r="G56" s="1">
        <v>1</v>
      </c>
      <c r="H56" s="1">
        <v>5.9539999999999997</v>
      </c>
      <c r="I56" s="1">
        <v>3.9550000000000001</v>
      </c>
      <c r="J56" s="1">
        <v>8.3610000000000007</v>
      </c>
      <c r="K56" s="6">
        <v>2.1000000000000001E-2</v>
      </c>
      <c r="L56" s="1">
        <v>0</v>
      </c>
      <c r="M56" s="6">
        <v>1.04</v>
      </c>
      <c r="N56" s="1">
        <v>10</v>
      </c>
      <c r="O56" s="1">
        <v>5.8559999999999999</v>
      </c>
      <c r="P56" s="1">
        <v>3.899</v>
      </c>
      <c r="Q56" s="1">
        <v>8.2210000000000001</v>
      </c>
      <c r="R56" s="1">
        <v>9.8000000000000004E-2</v>
      </c>
      <c r="S56" s="1">
        <v>5.6000000000000001E-2</v>
      </c>
      <c r="T56" s="6">
        <v>0.14000000000000001</v>
      </c>
      <c r="U56" s="1">
        <v>0</v>
      </c>
      <c r="V56" s="1">
        <v>5.9329999999999998</v>
      </c>
      <c r="W56" s="1">
        <v>3.9340000000000002</v>
      </c>
      <c r="X56" s="1">
        <v>8.34</v>
      </c>
      <c r="Y56" s="1">
        <v>37.21</v>
      </c>
      <c r="Z56" s="1">
        <v>23.37</v>
      </c>
      <c r="AA56" s="1">
        <v>0</v>
      </c>
      <c r="AB56" s="1">
        <v>0</v>
      </c>
      <c r="AC56" s="1">
        <v>0</v>
      </c>
      <c r="AD56" s="1">
        <v>0</v>
      </c>
      <c r="AE56" s="1">
        <v>19.52</v>
      </c>
      <c r="AF56" s="1">
        <v>0</v>
      </c>
      <c r="AG56" s="1">
        <v>0</v>
      </c>
      <c r="AH56" s="1">
        <v>0</v>
      </c>
      <c r="AI56" s="1">
        <v>2.4</v>
      </c>
      <c r="AJ56" s="1">
        <v>0</v>
      </c>
      <c r="AK56" s="1">
        <v>39.42</v>
      </c>
      <c r="AL56" s="1">
        <v>0</v>
      </c>
      <c r="AM56" s="1">
        <v>2</v>
      </c>
      <c r="AN56" s="1">
        <v>0</v>
      </c>
      <c r="AO56" s="6">
        <f t="shared" ref="AO56:AO66" si="6">O56+R56</f>
        <v>5.9539999999999997</v>
      </c>
      <c r="AP56" s="7">
        <f t="shared" si="2"/>
        <v>5.9329999999999998</v>
      </c>
      <c r="AQ56" s="6">
        <f t="shared" ref="AQ56:AQ66" si="7">(K56+L56+U56+AN56)</f>
        <v>2.1000000000000001E-2</v>
      </c>
      <c r="AR56" s="1">
        <v>5.36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8">
        <v>0.5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92.25</v>
      </c>
      <c r="BF56" s="1">
        <v>0</v>
      </c>
      <c r="BG56" s="1">
        <v>0</v>
      </c>
      <c r="BH56" s="1">
        <v>7.75</v>
      </c>
      <c r="BI56" s="1">
        <v>5.36</v>
      </c>
      <c r="BJ56" s="1">
        <v>0</v>
      </c>
      <c r="BK56" s="1">
        <v>0</v>
      </c>
      <c r="BL56" s="8">
        <v>0.5</v>
      </c>
    </row>
    <row r="57" spans="1:64" x14ac:dyDescent="0.2">
      <c r="A57" s="4">
        <v>45720</v>
      </c>
      <c r="B57" s="1" t="s">
        <v>48</v>
      </c>
      <c r="C57" s="1" t="s">
        <v>190</v>
      </c>
      <c r="D57" s="16" t="s">
        <v>196</v>
      </c>
      <c r="G57" s="1">
        <v>2</v>
      </c>
      <c r="H57" s="1">
        <v>4.6820000000000004</v>
      </c>
      <c r="I57" s="6">
        <v>3.22</v>
      </c>
      <c r="J57" s="1">
        <v>6.4249999999999998</v>
      </c>
      <c r="K57" s="1">
        <v>4.7E-2</v>
      </c>
      <c r="L57" s="1">
        <v>2.5000000000000001E-2</v>
      </c>
      <c r="M57" s="1">
        <v>1.0289999999999999</v>
      </c>
      <c r="N57" s="1">
        <v>10</v>
      </c>
      <c r="O57" s="1">
        <v>4.516</v>
      </c>
      <c r="P57" s="1">
        <v>3.125</v>
      </c>
      <c r="Q57" s="1">
        <v>6.1879999999999997</v>
      </c>
      <c r="R57" s="1">
        <v>0.16600000000000001</v>
      </c>
      <c r="S57" s="1">
        <v>9.5000000000000001E-2</v>
      </c>
      <c r="T57" s="1">
        <v>0.23699999999999999</v>
      </c>
      <c r="U57" s="1">
        <v>0</v>
      </c>
      <c r="V57" s="1">
        <v>4.6109999999999998</v>
      </c>
      <c r="W57" s="1">
        <v>3.149</v>
      </c>
      <c r="X57" s="1">
        <v>6.3529999999999998</v>
      </c>
      <c r="Y57" s="1">
        <v>29.15</v>
      </c>
      <c r="Z57" s="1">
        <v>39.94</v>
      </c>
      <c r="AA57" s="1">
        <v>0</v>
      </c>
      <c r="AB57" s="1">
        <v>0</v>
      </c>
      <c r="AC57" s="1">
        <v>0</v>
      </c>
      <c r="AD57" s="1">
        <v>0</v>
      </c>
      <c r="AE57" s="1">
        <v>52.77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18.079999999999998</v>
      </c>
      <c r="AL57" s="1">
        <v>0</v>
      </c>
      <c r="AM57" s="1">
        <v>2</v>
      </c>
      <c r="AN57" s="1">
        <v>0</v>
      </c>
      <c r="AO57" s="6">
        <f t="shared" si="6"/>
        <v>4.6820000000000004</v>
      </c>
      <c r="AP57" s="7">
        <f t="shared" si="2"/>
        <v>4.6100000000000003</v>
      </c>
      <c r="AQ57" s="6">
        <f t="shared" si="7"/>
        <v>7.2000000000000008E-2</v>
      </c>
      <c r="AR57" s="1">
        <v>3.65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0.87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8">
        <v>81</v>
      </c>
      <c r="BF57" s="1">
        <v>0</v>
      </c>
      <c r="BG57" s="1">
        <v>0</v>
      </c>
      <c r="BH57" s="8">
        <v>19</v>
      </c>
      <c r="BI57" s="1">
        <v>3.65</v>
      </c>
      <c r="BJ57" s="1">
        <v>0</v>
      </c>
      <c r="BK57" s="1">
        <v>0</v>
      </c>
      <c r="BL57" s="1">
        <v>0.87</v>
      </c>
    </row>
    <row r="58" spans="1:64" x14ac:dyDescent="0.2">
      <c r="A58" s="4">
        <v>45720</v>
      </c>
      <c r="B58" s="1" t="s">
        <v>48</v>
      </c>
      <c r="C58" s="1" t="s">
        <v>190</v>
      </c>
      <c r="D58" s="16" t="s">
        <v>196</v>
      </c>
      <c r="G58" s="1">
        <v>3</v>
      </c>
      <c r="H58" s="1">
        <v>8.6519999999999992</v>
      </c>
      <c r="I58" s="6">
        <v>5.74</v>
      </c>
      <c r="J58" s="1">
        <v>12.159000000000001</v>
      </c>
      <c r="K58" s="1">
        <v>3.2000000000000001E-2</v>
      </c>
      <c r="L58" s="1">
        <v>6.0000000000000001E-3</v>
      </c>
      <c r="M58" s="1">
        <v>1.0169999999999999</v>
      </c>
      <c r="N58" s="1">
        <v>10</v>
      </c>
      <c r="O58" s="1">
        <v>8.5139999999999993</v>
      </c>
      <c r="P58" s="1">
        <v>5.6660000000000004</v>
      </c>
      <c r="Q58" s="1">
        <v>11.962</v>
      </c>
      <c r="R58" s="1">
        <v>0.13800000000000001</v>
      </c>
      <c r="S58" s="1">
        <v>7.3999999999999996E-2</v>
      </c>
      <c r="T58" s="1">
        <v>0.19700000000000001</v>
      </c>
      <c r="U58" s="1">
        <v>0</v>
      </c>
      <c r="V58" s="1">
        <v>8.6129999999999995</v>
      </c>
      <c r="W58" s="1">
        <v>5.702</v>
      </c>
      <c r="X58" s="1">
        <v>12.12</v>
      </c>
      <c r="Y58" s="1">
        <v>55.65</v>
      </c>
      <c r="Z58" s="1">
        <v>33.630000000000003</v>
      </c>
      <c r="AA58" s="1">
        <v>0</v>
      </c>
      <c r="AB58" s="1">
        <v>0</v>
      </c>
      <c r="AC58" s="1">
        <v>0</v>
      </c>
      <c r="AD58" s="1">
        <v>0</v>
      </c>
      <c r="AE58" s="1">
        <v>34.81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8">
        <v>7.47</v>
      </c>
      <c r="AL58" s="1">
        <v>0</v>
      </c>
      <c r="AM58" s="1">
        <v>2</v>
      </c>
      <c r="AN58" s="1">
        <v>0</v>
      </c>
      <c r="AO58" s="6">
        <f t="shared" si="6"/>
        <v>8.6519999999999992</v>
      </c>
      <c r="AP58" s="7">
        <f t="shared" si="2"/>
        <v>8.613999999999999</v>
      </c>
      <c r="AQ58" s="6">
        <f t="shared" si="7"/>
        <v>3.7999999999999999E-2</v>
      </c>
      <c r="AR58" s="1">
        <v>7.84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0.68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92.23</v>
      </c>
      <c r="BF58" s="1">
        <v>0</v>
      </c>
      <c r="BG58" s="1">
        <v>0</v>
      </c>
      <c r="BH58" s="1">
        <v>7.77</v>
      </c>
      <c r="BI58" s="1">
        <v>7.84</v>
      </c>
      <c r="BJ58" s="1">
        <v>0</v>
      </c>
      <c r="BK58" s="1">
        <v>0</v>
      </c>
      <c r="BL58" s="1">
        <v>0.68</v>
      </c>
    </row>
    <row r="59" spans="1:64" x14ac:dyDescent="0.2">
      <c r="A59" s="4">
        <v>45731</v>
      </c>
      <c r="B59" s="1" t="s">
        <v>48</v>
      </c>
      <c r="C59" s="1" t="s">
        <v>190</v>
      </c>
      <c r="D59" s="16" t="s">
        <v>196</v>
      </c>
      <c r="E59" s="1" t="s">
        <v>122</v>
      </c>
      <c r="F59" s="1" t="s">
        <v>123</v>
      </c>
      <c r="G59" s="1">
        <v>4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6">
        <v>1</v>
      </c>
      <c r="N59" s="1">
        <v>10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100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6">
        <f t="shared" si="6"/>
        <v>0</v>
      </c>
      <c r="AP59" s="7">
        <f t="shared" si="2"/>
        <v>0</v>
      </c>
      <c r="AQ59" s="6">
        <f t="shared" si="7"/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2">
      <c r="A60" s="4">
        <v>45731</v>
      </c>
      <c r="B60" s="1" t="s">
        <v>48</v>
      </c>
      <c r="C60" s="1" t="s">
        <v>190</v>
      </c>
      <c r="D60" s="16" t="s">
        <v>196</v>
      </c>
      <c r="E60" s="1" t="s">
        <v>124</v>
      </c>
      <c r="F60" s="1" t="s">
        <v>125</v>
      </c>
      <c r="G60" s="1">
        <v>5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6">
        <v>1</v>
      </c>
      <c r="N60" s="1">
        <v>10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100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6">
        <f t="shared" si="6"/>
        <v>0</v>
      </c>
      <c r="AP60" s="7">
        <f t="shared" si="2"/>
        <v>0</v>
      </c>
      <c r="AQ60" s="6">
        <f t="shared" si="7"/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2">
      <c r="A61" s="4">
        <v>45731</v>
      </c>
      <c r="B61" s="1" t="s">
        <v>48</v>
      </c>
      <c r="C61" s="1" t="s">
        <v>190</v>
      </c>
      <c r="D61" s="16" t="s">
        <v>196</v>
      </c>
      <c r="E61" s="1" t="s">
        <v>126</v>
      </c>
      <c r="F61" s="1" t="s">
        <v>127</v>
      </c>
      <c r="G61" s="1">
        <v>6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6">
        <v>1</v>
      </c>
      <c r="N61" s="1">
        <v>10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100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6">
        <f t="shared" si="6"/>
        <v>0</v>
      </c>
      <c r="AP61" s="7">
        <f t="shared" si="2"/>
        <v>0</v>
      </c>
      <c r="AQ61" s="6">
        <f t="shared" si="7"/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2">
      <c r="A62" s="4">
        <v>45731</v>
      </c>
      <c r="B62" s="1" t="s">
        <v>48</v>
      </c>
      <c r="C62" s="1" t="s">
        <v>190</v>
      </c>
      <c r="D62" s="16" t="s">
        <v>196</v>
      </c>
      <c r="E62" s="1" t="s">
        <v>128</v>
      </c>
      <c r="F62" s="1" t="s">
        <v>129</v>
      </c>
      <c r="G62" s="1">
        <v>7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6">
        <v>1</v>
      </c>
      <c r="N62" s="1">
        <v>10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100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6">
        <f t="shared" si="6"/>
        <v>0</v>
      </c>
      <c r="AP62" s="7">
        <f t="shared" si="2"/>
        <v>0</v>
      </c>
      <c r="AQ62" s="6">
        <f t="shared" si="7"/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2">
      <c r="A63" s="4">
        <v>45731</v>
      </c>
      <c r="B63" s="1" t="s">
        <v>48</v>
      </c>
      <c r="C63" s="1" t="s">
        <v>190</v>
      </c>
      <c r="D63" s="16" t="s">
        <v>196</v>
      </c>
      <c r="E63" s="1" t="s">
        <v>130</v>
      </c>
      <c r="F63" s="1" t="s">
        <v>131</v>
      </c>
      <c r="G63" s="1">
        <v>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6">
        <v>1</v>
      </c>
      <c r="N63" s="1">
        <v>10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100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6">
        <f t="shared" si="6"/>
        <v>0</v>
      </c>
      <c r="AP63" s="7">
        <f t="shared" si="2"/>
        <v>0</v>
      </c>
      <c r="AQ63" s="6">
        <f t="shared" si="7"/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2">
      <c r="A64" s="4">
        <v>45731</v>
      </c>
      <c r="B64" s="1" t="s">
        <v>48</v>
      </c>
      <c r="C64" s="1" t="s">
        <v>190</v>
      </c>
      <c r="D64" s="16" t="s">
        <v>196</v>
      </c>
      <c r="E64" s="1" t="s">
        <v>132</v>
      </c>
      <c r="F64" s="1" t="s">
        <v>133</v>
      </c>
      <c r="G64" s="1">
        <v>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6">
        <v>1</v>
      </c>
      <c r="N64" s="1">
        <v>10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100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6">
        <f t="shared" si="6"/>
        <v>0</v>
      </c>
      <c r="AP64" s="7">
        <f t="shared" si="2"/>
        <v>0</v>
      </c>
      <c r="AQ64" s="6">
        <f t="shared" si="7"/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2">
      <c r="A65" s="4">
        <v>45723</v>
      </c>
      <c r="B65" s="1" t="s">
        <v>48</v>
      </c>
      <c r="C65" s="1" t="s">
        <v>190</v>
      </c>
      <c r="D65" s="12" t="s">
        <v>194</v>
      </c>
      <c r="E65" s="1" t="s">
        <v>134</v>
      </c>
      <c r="F65" s="1" t="s">
        <v>135</v>
      </c>
      <c r="G65" s="1">
        <v>1</v>
      </c>
      <c r="H65" s="1">
        <v>0</v>
      </c>
      <c r="I65" s="1">
        <v>0</v>
      </c>
      <c r="J65" s="1">
        <v>0</v>
      </c>
      <c r="K65" s="1">
        <v>9.0999999999999998E-2</v>
      </c>
      <c r="L65" s="1">
        <v>0.19800000000000001</v>
      </c>
      <c r="M65" s="1">
        <v>1.0569999999999999</v>
      </c>
      <c r="N65" s="1">
        <v>10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6">
        <v>-0.28899999999999998</v>
      </c>
      <c r="W65" s="1">
        <v>-0.28899999999999998</v>
      </c>
      <c r="X65" s="1">
        <v>-0.28899999999999998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100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6">
        <f t="shared" si="6"/>
        <v>0</v>
      </c>
      <c r="AP65" s="7">
        <f t="shared" si="2"/>
        <v>-0.28900000000000003</v>
      </c>
      <c r="AQ65" s="6">
        <f t="shared" si="7"/>
        <v>0.28900000000000003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2">
      <c r="A66" s="4">
        <v>45723</v>
      </c>
      <c r="B66" s="1" t="s">
        <v>48</v>
      </c>
      <c r="C66" s="1" t="s">
        <v>190</v>
      </c>
      <c r="D66" s="12" t="s">
        <v>194</v>
      </c>
      <c r="E66" s="1" t="s">
        <v>136</v>
      </c>
      <c r="F66" s="1" t="s">
        <v>137</v>
      </c>
      <c r="G66" s="1">
        <v>2</v>
      </c>
      <c r="H66" s="1">
        <v>0</v>
      </c>
      <c r="I66" s="1">
        <v>0</v>
      </c>
      <c r="J66" s="1">
        <v>0</v>
      </c>
      <c r="K66" s="1">
        <v>9.0999999999999998E-2</v>
      </c>
      <c r="L66" s="1">
        <v>0.19800000000000001</v>
      </c>
      <c r="M66" s="1">
        <v>1.0580000000000001</v>
      </c>
      <c r="N66" s="1">
        <v>10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6">
        <v>-0.28899999999999998</v>
      </c>
      <c r="W66" s="1">
        <v>-0.28899999999999998</v>
      </c>
      <c r="X66" s="1">
        <v>-0.28899999999999998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100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6">
        <f t="shared" si="6"/>
        <v>0</v>
      </c>
      <c r="AP66" s="7">
        <f t="shared" si="2"/>
        <v>-0.28900000000000003</v>
      </c>
      <c r="AQ66" s="6">
        <f t="shared" si="7"/>
        <v>0.28900000000000003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2">
      <c r="A67" s="4">
        <v>45723</v>
      </c>
      <c r="B67" s="1" t="s">
        <v>48</v>
      </c>
      <c r="C67" s="1" t="s">
        <v>190</v>
      </c>
      <c r="D67" s="12" t="s">
        <v>194</v>
      </c>
      <c r="E67" s="1" t="s">
        <v>138</v>
      </c>
      <c r="F67" s="1" t="s">
        <v>139</v>
      </c>
      <c r="G67" s="1">
        <v>3</v>
      </c>
      <c r="H67" s="1">
        <v>0</v>
      </c>
      <c r="I67" s="1">
        <v>0</v>
      </c>
      <c r="J67" s="1">
        <v>0</v>
      </c>
      <c r="K67" s="1">
        <v>9.6000000000000002E-2</v>
      </c>
      <c r="L67" s="1">
        <v>0.20899999999999999</v>
      </c>
      <c r="M67" s="1">
        <v>1.1180000000000001</v>
      </c>
      <c r="N67" s="1">
        <v>10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-0.30499999999999999</v>
      </c>
      <c r="W67" s="1">
        <v>-0.30499999999999999</v>
      </c>
      <c r="X67" s="1">
        <v>-0.30499999999999999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100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6">
        <f t="shared" ref="AO67:AO82" si="8">O67+R67</f>
        <v>0</v>
      </c>
      <c r="AP67" s="7">
        <f t="shared" ref="AP67:AP82" si="9">(AO67)-(AQ67)</f>
        <v>-0.30499999999999999</v>
      </c>
      <c r="AQ67" s="6">
        <f t="shared" ref="AQ67:AQ82" si="10">(K67+L67+U67+AN67)</f>
        <v>0.30499999999999999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2">
      <c r="A68" s="4">
        <v>45729</v>
      </c>
      <c r="B68" s="1" t="s">
        <v>48</v>
      </c>
      <c r="C68" s="1" t="s">
        <v>190</v>
      </c>
      <c r="D68" s="12" t="s">
        <v>194</v>
      </c>
      <c r="E68" s="1" t="s">
        <v>140</v>
      </c>
      <c r="F68" s="1" t="s">
        <v>141</v>
      </c>
      <c r="G68" s="1">
        <v>4</v>
      </c>
      <c r="H68" s="1">
        <v>0</v>
      </c>
      <c r="I68" s="1">
        <v>0</v>
      </c>
      <c r="J68" s="1">
        <v>0</v>
      </c>
      <c r="K68" s="1">
        <v>9.8000000000000004E-2</v>
      </c>
      <c r="L68" s="1">
        <v>0.21199999999999999</v>
      </c>
      <c r="M68" s="1">
        <v>1.1339999999999999</v>
      </c>
      <c r="N68" s="1">
        <v>10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6">
        <v>-0.31</v>
      </c>
      <c r="W68" s="6">
        <v>-0.31</v>
      </c>
      <c r="X68" s="6">
        <v>-0.31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100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6">
        <f t="shared" si="8"/>
        <v>0</v>
      </c>
      <c r="AP68" s="7">
        <f t="shared" si="9"/>
        <v>-0.31</v>
      </c>
      <c r="AQ68" s="6">
        <f t="shared" si="10"/>
        <v>0.31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2">
      <c r="A69" s="4">
        <v>45729</v>
      </c>
      <c r="B69" s="1" t="s">
        <v>48</v>
      </c>
      <c r="C69" s="1" t="s">
        <v>190</v>
      </c>
      <c r="D69" s="12" t="s">
        <v>194</v>
      </c>
      <c r="E69" s="1" t="s">
        <v>142</v>
      </c>
      <c r="F69" s="1" t="s">
        <v>143</v>
      </c>
      <c r="G69" s="1">
        <v>5</v>
      </c>
      <c r="H69" s="1">
        <v>0</v>
      </c>
      <c r="I69" s="1">
        <v>0</v>
      </c>
      <c r="J69" s="1">
        <v>0</v>
      </c>
      <c r="K69" s="1">
        <v>9.5000000000000001E-2</v>
      </c>
      <c r="L69" s="1">
        <v>0.20699999999999999</v>
      </c>
      <c r="M69" s="1">
        <v>1.107</v>
      </c>
      <c r="N69" s="1">
        <v>10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-0.30199999999999999</v>
      </c>
      <c r="W69" s="1">
        <v>-0.30199999999999999</v>
      </c>
      <c r="X69" s="1">
        <v>-0.30199999999999999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100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6">
        <f t="shared" si="8"/>
        <v>0</v>
      </c>
      <c r="AP69" s="7">
        <f t="shared" si="9"/>
        <v>-0.30199999999999999</v>
      </c>
      <c r="AQ69" s="6">
        <f t="shared" si="10"/>
        <v>0.30199999999999999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2">
      <c r="A70" s="4">
        <v>45729</v>
      </c>
      <c r="B70" s="1" t="s">
        <v>48</v>
      </c>
      <c r="C70" s="1" t="s">
        <v>190</v>
      </c>
      <c r="D70" s="12" t="s">
        <v>194</v>
      </c>
      <c r="E70" s="1" t="s">
        <v>144</v>
      </c>
      <c r="F70" s="1" t="s">
        <v>145</v>
      </c>
      <c r="G70" s="1">
        <v>6</v>
      </c>
      <c r="H70" s="1">
        <v>0</v>
      </c>
      <c r="I70" s="1">
        <v>0</v>
      </c>
      <c r="J70" s="1">
        <v>0</v>
      </c>
      <c r="K70" s="1">
        <v>9.1999999999999998E-2</v>
      </c>
      <c r="L70" s="6">
        <v>0.2</v>
      </c>
      <c r="M70" s="1">
        <v>1.071</v>
      </c>
      <c r="N70" s="1">
        <v>10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-0.29199999999999998</v>
      </c>
      <c r="W70" s="1">
        <v>-0.29199999999999998</v>
      </c>
      <c r="X70" s="1">
        <v>-0.29199999999999998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100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6">
        <f t="shared" si="8"/>
        <v>0</v>
      </c>
      <c r="AP70" s="7">
        <f t="shared" si="9"/>
        <v>-0.29200000000000004</v>
      </c>
      <c r="AQ70" s="6">
        <f t="shared" si="10"/>
        <v>0.29200000000000004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2">
      <c r="A71" s="4">
        <v>45731</v>
      </c>
      <c r="B71" s="1" t="s">
        <v>48</v>
      </c>
      <c r="C71" s="1" t="s">
        <v>190</v>
      </c>
      <c r="D71" s="12" t="s">
        <v>194</v>
      </c>
      <c r="E71" s="1" t="s">
        <v>128</v>
      </c>
      <c r="F71" s="1" t="s">
        <v>146</v>
      </c>
      <c r="G71" s="1">
        <v>7</v>
      </c>
      <c r="H71" s="1">
        <v>0</v>
      </c>
      <c r="I71" s="1">
        <v>0</v>
      </c>
      <c r="J71" s="1">
        <v>0</v>
      </c>
      <c r="K71" s="1">
        <v>9.2999999999999999E-2</v>
      </c>
      <c r="L71" s="1">
        <v>0.20300000000000001</v>
      </c>
      <c r="M71" s="1">
        <v>1.048</v>
      </c>
      <c r="N71" s="1">
        <v>10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-0.29599999999999999</v>
      </c>
      <c r="W71" s="1">
        <v>-0.29599999999999999</v>
      </c>
      <c r="X71" s="6">
        <v>-0.29599999999999999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100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6">
        <f t="shared" si="8"/>
        <v>0</v>
      </c>
      <c r="AP71" s="7">
        <f t="shared" si="9"/>
        <v>-0.29600000000000004</v>
      </c>
      <c r="AQ71" s="6">
        <f t="shared" si="10"/>
        <v>0.29600000000000004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2">
      <c r="A72" s="4">
        <v>45731</v>
      </c>
      <c r="B72" s="1" t="s">
        <v>48</v>
      </c>
      <c r="C72" s="1" t="s">
        <v>190</v>
      </c>
      <c r="D72" s="12" t="s">
        <v>194</v>
      </c>
      <c r="E72" s="1" t="s">
        <v>147</v>
      </c>
      <c r="F72" s="1" t="s">
        <v>148</v>
      </c>
      <c r="G72" s="1">
        <v>8</v>
      </c>
      <c r="H72" s="1">
        <v>0</v>
      </c>
      <c r="I72" s="1">
        <v>0</v>
      </c>
      <c r="J72" s="1">
        <v>0</v>
      </c>
      <c r="K72" s="1">
        <v>0.10299999999999999</v>
      </c>
      <c r="L72" s="1">
        <v>0.223</v>
      </c>
      <c r="M72" s="1">
        <v>1.194</v>
      </c>
      <c r="N72" s="1">
        <v>10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-0.32600000000000001</v>
      </c>
      <c r="W72" s="1">
        <v>-0.32600000000000001</v>
      </c>
      <c r="X72" s="1">
        <v>-0.32600000000000001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100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6">
        <f t="shared" si="8"/>
        <v>0</v>
      </c>
      <c r="AP72" s="7">
        <f t="shared" si="9"/>
        <v>-0.32600000000000001</v>
      </c>
      <c r="AQ72" s="6">
        <f t="shared" si="10"/>
        <v>0.32600000000000001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2">
      <c r="A73" s="4">
        <v>45731</v>
      </c>
      <c r="B73" s="1" t="s">
        <v>48</v>
      </c>
      <c r="C73" s="1" t="s">
        <v>190</v>
      </c>
      <c r="D73" s="12" t="s">
        <v>194</v>
      </c>
      <c r="E73" s="1" t="s">
        <v>149</v>
      </c>
      <c r="F73" s="1" t="s">
        <v>150</v>
      </c>
      <c r="G73" s="1">
        <v>9</v>
      </c>
      <c r="H73" s="1">
        <v>0</v>
      </c>
      <c r="I73" s="1">
        <v>0</v>
      </c>
      <c r="J73" s="1">
        <v>0</v>
      </c>
      <c r="K73" s="1">
        <v>9.5000000000000001E-2</v>
      </c>
      <c r="L73" s="1">
        <v>0.20699999999999999</v>
      </c>
      <c r="M73" s="1">
        <v>1.1080000000000001</v>
      </c>
      <c r="N73" s="1">
        <v>10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-0.30199999999999999</v>
      </c>
      <c r="W73" s="1">
        <v>-0.30199999999999999</v>
      </c>
      <c r="X73" s="1">
        <v>-0.30199999999999999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100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6">
        <f t="shared" si="8"/>
        <v>0</v>
      </c>
      <c r="AP73" s="7">
        <f t="shared" si="9"/>
        <v>-0.30199999999999999</v>
      </c>
      <c r="AQ73" s="6">
        <f t="shared" si="10"/>
        <v>0.30199999999999999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2">
      <c r="A74" s="4">
        <v>45731</v>
      </c>
      <c r="B74" s="1" t="s">
        <v>48</v>
      </c>
      <c r="C74" s="1" t="s">
        <v>190</v>
      </c>
      <c r="D74" s="13" t="s">
        <v>195</v>
      </c>
      <c r="E74" s="1" t="s">
        <v>151</v>
      </c>
      <c r="F74" s="1" t="s">
        <v>152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1.0549999999999999</v>
      </c>
      <c r="N74" s="1">
        <v>10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100</v>
      </c>
      <c r="AK74" s="1">
        <v>2.7</v>
      </c>
      <c r="AL74" s="1">
        <v>0</v>
      </c>
      <c r="AM74" s="1">
        <v>0</v>
      </c>
      <c r="AN74" s="6">
        <v>0.81399999999999995</v>
      </c>
      <c r="AO74" s="6">
        <f t="shared" si="8"/>
        <v>0</v>
      </c>
      <c r="AP74" s="7">
        <f t="shared" si="9"/>
        <v>-0.81399999999999995</v>
      </c>
      <c r="AQ74" s="6">
        <f t="shared" si="10"/>
        <v>0.81399999999999995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</row>
    <row r="75" spans="1:64" x14ac:dyDescent="0.2">
      <c r="A75" s="4">
        <v>45731</v>
      </c>
      <c r="B75" s="1" t="s">
        <v>48</v>
      </c>
      <c r="C75" s="1" t="s">
        <v>190</v>
      </c>
      <c r="D75" s="13" t="s">
        <v>195</v>
      </c>
      <c r="E75" s="1" t="s">
        <v>153</v>
      </c>
      <c r="F75" s="1" t="s">
        <v>154</v>
      </c>
      <c r="G75" s="1">
        <v>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1.0589999999999999</v>
      </c>
      <c r="N75" s="1">
        <v>10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100</v>
      </c>
      <c r="AK75" s="1">
        <v>1.1000000000000001</v>
      </c>
      <c r="AL75" s="1">
        <v>0</v>
      </c>
      <c r="AM75" s="1">
        <v>0</v>
      </c>
      <c r="AN75" s="6">
        <v>0.81399999999999995</v>
      </c>
      <c r="AO75" s="6">
        <f t="shared" si="8"/>
        <v>0</v>
      </c>
      <c r="AP75" s="7">
        <f t="shared" si="9"/>
        <v>-0.81399999999999995</v>
      </c>
      <c r="AQ75" s="6">
        <f t="shared" si="10"/>
        <v>0.81399999999999995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2">
      <c r="A76" s="4">
        <v>45731</v>
      </c>
      <c r="B76" s="1" t="s">
        <v>48</v>
      </c>
      <c r="C76" s="1" t="s">
        <v>190</v>
      </c>
      <c r="D76" s="13" t="s">
        <v>195</v>
      </c>
      <c r="E76" s="1" t="s">
        <v>155</v>
      </c>
      <c r="F76" s="1" t="s">
        <v>156</v>
      </c>
      <c r="G76" s="1">
        <v>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1.155</v>
      </c>
      <c r="N76" s="1">
        <v>10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100</v>
      </c>
      <c r="AK76" s="1">
        <v>2.5</v>
      </c>
      <c r="AL76" s="1">
        <v>0</v>
      </c>
      <c r="AM76" s="1">
        <v>0</v>
      </c>
      <c r="AN76" s="6">
        <v>0.81399999999999995</v>
      </c>
      <c r="AO76" s="6">
        <f t="shared" si="8"/>
        <v>0</v>
      </c>
      <c r="AP76" s="7">
        <f t="shared" si="9"/>
        <v>-0.81399999999999995</v>
      </c>
      <c r="AQ76" s="6">
        <f t="shared" si="10"/>
        <v>0.81399999999999995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2">
      <c r="A77" s="4">
        <v>45731</v>
      </c>
      <c r="B77" s="1" t="s">
        <v>48</v>
      </c>
      <c r="C77" s="1" t="s">
        <v>190</v>
      </c>
      <c r="D77" s="13" t="s">
        <v>195</v>
      </c>
      <c r="E77" s="1" t="s">
        <v>157</v>
      </c>
      <c r="F77" s="1" t="s">
        <v>158</v>
      </c>
      <c r="G77" s="1">
        <v>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6">
        <v>1</v>
      </c>
      <c r="N77" s="1">
        <v>10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100</v>
      </c>
      <c r="AK77" s="1">
        <v>1.1000000000000001</v>
      </c>
      <c r="AL77" s="1">
        <v>0</v>
      </c>
      <c r="AM77" s="1">
        <v>0</v>
      </c>
      <c r="AN77" s="6">
        <v>0.81399999999999995</v>
      </c>
      <c r="AO77" s="6">
        <f t="shared" si="8"/>
        <v>0</v>
      </c>
      <c r="AP77" s="7">
        <f t="shared" si="9"/>
        <v>-0.81399999999999995</v>
      </c>
      <c r="AQ77" s="6">
        <f t="shared" si="10"/>
        <v>0.81399999999999995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2">
      <c r="A78" s="4">
        <v>45731</v>
      </c>
      <c r="B78" s="1" t="s">
        <v>48</v>
      </c>
      <c r="C78" s="1" t="s">
        <v>190</v>
      </c>
      <c r="D78" s="13" t="s">
        <v>195</v>
      </c>
      <c r="E78" s="1" t="s">
        <v>159</v>
      </c>
      <c r="F78" s="1" t="s">
        <v>160</v>
      </c>
      <c r="G78" s="1">
        <v>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6">
        <v>1</v>
      </c>
      <c r="N78" s="1">
        <v>10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100</v>
      </c>
      <c r="AK78" s="1">
        <v>1.3</v>
      </c>
      <c r="AL78" s="1">
        <v>0</v>
      </c>
      <c r="AM78" s="1">
        <v>0</v>
      </c>
      <c r="AN78" s="6">
        <v>0.81399999999999995</v>
      </c>
      <c r="AO78" s="6">
        <f t="shared" si="8"/>
        <v>0</v>
      </c>
      <c r="AP78" s="7">
        <f t="shared" si="9"/>
        <v>-0.81399999999999995</v>
      </c>
      <c r="AQ78" s="6">
        <f t="shared" si="10"/>
        <v>0.81399999999999995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</row>
    <row r="79" spans="1:64" x14ac:dyDescent="0.2">
      <c r="A79" s="4">
        <v>45731</v>
      </c>
      <c r="B79" s="1" t="s">
        <v>48</v>
      </c>
      <c r="C79" s="1" t="s">
        <v>190</v>
      </c>
      <c r="D79" s="13" t="s">
        <v>195</v>
      </c>
      <c r="E79" s="1" t="s">
        <v>161</v>
      </c>
      <c r="F79" s="1" t="s">
        <v>162</v>
      </c>
      <c r="G79" s="1">
        <v>6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6">
        <v>1</v>
      </c>
      <c r="N79" s="1">
        <v>10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100</v>
      </c>
      <c r="AK79" s="1">
        <v>1.2</v>
      </c>
      <c r="AL79" s="1">
        <v>0</v>
      </c>
      <c r="AM79" s="1">
        <v>0</v>
      </c>
      <c r="AN79" s="6">
        <v>0.81399999999999995</v>
      </c>
      <c r="AO79" s="6">
        <f t="shared" si="8"/>
        <v>0</v>
      </c>
      <c r="AP79" s="7">
        <f t="shared" si="9"/>
        <v>-0.81399999999999995</v>
      </c>
      <c r="AQ79" s="6">
        <f t="shared" si="10"/>
        <v>0.81399999999999995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2">
      <c r="A80" s="4">
        <v>45732</v>
      </c>
      <c r="B80" s="1" t="s">
        <v>48</v>
      </c>
      <c r="C80" s="1" t="s">
        <v>190</v>
      </c>
      <c r="D80" s="13" t="s">
        <v>195</v>
      </c>
      <c r="E80" s="1" t="s">
        <v>163</v>
      </c>
      <c r="F80" s="1" t="s">
        <v>164</v>
      </c>
      <c r="G80" s="1">
        <v>7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1.1779999999999999</v>
      </c>
      <c r="N80" s="1">
        <v>10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100</v>
      </c>
      <c r="AK80" s="1">
        <v>0</v>
      </c>
      <c r="AL80" s="1">
        <v>0</v>
      </c>
      <c r="AM80" s="1">
        <v>0</v>
      </c>
      <c r="AN80" s="6">
        <v>0.81399999999999995</v>
      </c>
      <c r="AO80" s="6">
        <f t="shared" si="8"/>
        <v>0</v>
      </c>
      <c r="AP80" s="7">
        <f t="shared" si="9"/>
        <v>-0.81399999999999995</v>
      </c>
      <c r="AQ80" s="6">
        <f t="shared" si="10"/>
        <v>0.81399999999999995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</row>
    <row r="81" spans="1:64" x14ac:dyDescent="0.2">
      <c r="A81" s="4">
        <v>45732</v>
      </c>
      <c r="B81" s="1" t="s">
        <v>48</v>
      </c>
      <c r="C81" s="1" t="s">
        <v>190</v>
      </c>
      <c r="D81" s="13" t="s">
        <v>195</v>
      </c>
      <c r="E81" s="1" t="s">
        <v>165</v>
      </c>
      <c r="F81" s="1" t="s">
        <v>166</v>
      </c>
      <c r="G81" s="1">
        <v>8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6">
        <v>1</v>
      </c>
      <c r="N81" s="1">
        <v>10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100</v>
      </c>
      <c r="AK81" s="1">
        <v>0</v>
      </c>
      <c r="AL81" s="1">
        <v>0</v>
      </c>
      <c r="AM81" s="1">
        <v>0</v>
      </c>
      <c r="AN81" s="6">
        <v>0.81399999999999995</v>
      </c>
      <c r="AO81" s="6">
        <f t="shared" si="8"/>
        <v>0</v>
      </c>
      <c r="AP81" s="7">
        <f t="shared" si="9"/>
        <v>-0.81399999999999995</v>
      </c>
      <c r="AQ81" s="6">
        <f t="shared" si="10"/>
        <v>0.81399999999999995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</row>
    <row r="82" spans="1:64" x14ac:dyDescent="0.2">
      <c r="A82" s="4">
        <v>45732</v>
      </c>
      <c r="B82" s="1" t="s">
        <v>48</v>
      </c>
      <c r="C82" s="1" t="s">
        <v>190</v>
      </c>
      <c r="D82" s="13" t="s">
        <v>195</v>
      </c>
      <c r="E82" s="1" t="s">
        <v>167</v>
      </c>
      <c r="F82" s="1" t="s">
        <v>168</v>
      </c>
      <c r="G82" s="1">
        <v>9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6">
        <v>1</v>
      </c>
      <c r="N82" s="1">
        <v>10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100</v>
      </c>
      <c r="AK82" s="1">
        <v>0</v>
      </c>
      <c r="AL82" s="1">
        <v>0</v>
      </c>
      <c r="AM82" s="1">
        <v>0</v>
      </c>
      <c r="AN82" s="6">
        <v>0.81399999999999995</v>
      </c>
      <c r="AO82" s="6">
        <f t="shared" si="8"/>
        <v>0</v>
      </c>
      <c r="AP82" s="7">
        <f t="shared" si="9"/>
        <v>-0.81399999999999995</v>
      </c>
      <c r="AQ82" s="6">
        <f t="shared" si="10"/>
        <v>0.81399999999999995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</row>
    <row r="83" spans="1:64" x14ac:dyDescent="0.2">
      <c r="A83" s="4"/>
      <c r="L83" s="6"/>
      <c r="V83" s="6"/>
      <c r="Y83" s="6"/>
      <c r="AI83" s="1"/>
      <c r="AJ83" s="1"/>
      <c r="AP83" s="7"/>
    </row>
    <row r="84" spans="1:64" x14ac:dyDescent="0.2">
      <c r="A84" s="4"/>
      <c r="H84" s="6"/>
      <c r="K84" s="6"/>
      <c r="R84" s="6"/>
      <c r="AF84" s="8"/>
      <c r="AI84" s="1"/>
      <c r="AJ84" s="1"/>
      <c r="AP84" s="7"/>
    </row>
    <row r="85" spans="1:64" x14ac:dyDescent="0.2">
      <c r="A85" s="4"/>
      <c r="AF85" s="8"/>
      <c r="AI85" s="1"/>
      <c r="AJ85" s="1"/>
      <c r="AK85" s="8"/>
      <c r="AP85" s="2"/>
    </row>
    <row r="86" spans="1:64" x14ac:dyDescent="0.2">
      <c r="A86" s="4"/>
      <c r="AF86" s="8"/>
      <c r="AI86" s="1"/>
      <c r="AJ86" s="1"/>
      <c r="AP86" s="2"/>
    </row>
    <row r="87" spans="1:64" x14ac:dyDescent="0.2">
      <c r="A87" s="4"/>
      <c r="I87" s="6"/>
      <c r="P87" s="6"/>
      <c r="V87" s="6"/>
      <c r="AI87" s="1"/>
      <c r="AJ87" s="1"/>
      <c r="AK87" s="6"/>
      <c r="AP87" s="2"/>
      <c r="BL87" s="8"/>
    </row>
    <row r="88" spans="1:64" x14ac:dyDescent="0.2">
      <c r="A88" s="4"/>
      <c r="M88" s="8"/>
      <c r="W88" s="6"/>
      <c r="AI88" s="1"/>
      <c r="AJ88" s="1"/>
      <c r="AK88" s="6"/>
      <c r="AP88" s="2"/>
    </row>
    <row r="89" spans="1:64" x14ac:dyDescent="0.2">
      <c r="A89" s="4"/>
      <c r="M89" s="8"/>
      <c r="Y89" s="6"/>
      <c r="AI89" s="1"/>
      <c r="AJ89" s="1"/>
      <c r="AK89" s="6"/>
      <c r="AP89" s="2"/>
    </row>
    <row r="90" spans="1:64" x14ac:dyDescent="0.2">
      <c r="A90" s="4"/>
      <c r="M90" s="8"/>
      <c r="Y90" s="6"/>
      <c r="AI90" s="1"/>
      <c r="AJ90" s="1"/>
      <c r="AP90" s="2"/>
    </row>
    <row r="91" spans="1:64" x14ac:dyDescent="0.2">
      <c r="A91" s="4"/>
      <c r="AI91" s="1"/>
      <c r="AJ91" s="1"/>
      <c r="AK91" s="8"/>
      <c r="AP91" s="7"/>
    </row>
    <row r="92" spans="1:64" x14ac:dyDescent="0.2">
      <c r="A92" s="4"/>
      <c r="M92" s="8"/>
      <c r="AF92" s="8"/>
      <c r="AI92" s="1"/>
      <c r="AJ92" s="1"/>
      <c r="AK92" s="8"/>
      <c r="AP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carbonate budget_Maldives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 Mei Ting</dc:creator>
  <cp:lastModifiedBy>Noelle Claire</cp:lastModifiedBy>
  <dcterms:created xsi:type="dcterms:W3CDTF">2025-04-08T01:32:06Z</dcterms:created>
  <dcterms:modified xsi:type="dcterms:W3CDTF">2026-03-24T10:59:36Z</dcterms:modified>
</cp:coreProperties>
</file>